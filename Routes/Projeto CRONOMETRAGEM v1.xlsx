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r_Rodrigues\Desktop\"/>
    </mc:Choice>
  </mc:AlternateContent>
  <xr:revisionPtr revIDLastSave="0" documentId="8_{97BD03C4-8D2A-420C-835D-F5F214FE7744}" xr6:coauthVersionLast="47" xr6:coauthVersionMax="47" xr10:uidLastSave="{00000000-0000-0000-0000-000000000000}"/>
  <bookViews>
    <workbookView xWindow="-23148" yWindow="-72" windowWidth="23256" windowHeight="12456" xr2:uid="{24444B7D-837F-4112-9687-51703D82E680}"/>
  </bookViews>
  <sheets>
    <sheet name="Tela preenchid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0" i="6" l="1"/>
  <c r="AF72" i="6" l="1"/>
  <c r="AF71" i="6"/>
  <c r="AF70" i="6"/>
  <c r="AF69" i="6"/>
  <c r="AF68" i="6"/>
  <c r="AF67" i="6"/>
  <c r="AF66" i="6"/>
  <c r="AF60" i="6"/>
  <c r="AF59" i="6" l="1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9" i="6" s="1"/>
  <c r="AF31" i="6"/>
  <c r="AI31" i="6" s="1"/>
  <c r="A31" i="6"/>
  <c r="AF30" i="6"/>
  <c r="AI30" i="6" s="1"/>
  <c r="A30" i="6"/>
  <c r="AF29" i="6"/>
  <c r="AI29" i="6" s="1"/>
  <c r="A29" i="6"/>
  <c r="A28" i="6"/>
  <c r="AF27" i="6"/>
  <c r="AI27" i="6" s="1"/>
  <c r="A27" i="6"/>
  <c r="A26" i="6"/>
  <c r="A25" i="6"/>
  <c r="A24" i="6"/>
  <c r="A23" i="6"/>
  <c r="A22" i="6"/>
  <c r="F18" i="6"/>
  <c r="AR18" i="6"/>
  <c r="AR17" i="6"/>
  <c r="AR16" i="6"/>
  <c r="AD15" i="6"/>
  <c r="AD16" i="6" s="1"/>
  <c r="AR15" i="6"/>
  <c r="AR14" i="6"/>
  <c r="AR13" i="6"/>
  <c r="AR5" i="6"/>
  <c r="AV5" i="6" s="1"/>
  <c r="AF23" i="6" l="1"/>
  <c r="AI23" i="6" s="1"/>
  <c r="AF6" i="6"/>
  <c r="AF22" i="6"/>
  <c r="AI22" i="6" s="1"/>
  <c r="AF5" i="6"/>
  <c r="AF26" i="6"/>
  <c r="AI26" i="6" s="1"/>
  <c r="AF8" i="6"/>
  <c r="AF7" i="6"/>
  <c r="AF28" i="6"/>
  <c r="AI28" i="6" s="1"/>
  <c r="AF25" i="6"/>
  <c r="AI25" i="6" s="1"/>
  <c r="AV6" i="6"/>
  <c r="AT5" i="6"/>
  <c r="AT6" i="6" s="1"/>
  <c r="AR6" i="6"/>
  <c r="AL15" i="6"/>
  <c r="AF24" i="6"/>
  <c r="AI24" i="6" s="1"/>
  <c r="AB2" i="6"/>
  <c r="AF4" i="6" s="1"/>
  <c r="U4" i="6" l="1"/>
  <c r="N4" i="6" s="1"/>
  <c r="AL16" i="6"/>
  <c r="U12" i="6" s="1"/>
  <c r="N12" i="6" s="1"/>
  <c r="AH15" i="6"/>
  <c r="AH16" i="6" s="1"/>
  <c r="AJ2" i="6"/>
  <c r="R16" i="6" s="1"/>
  <c r="N5" i="6"/>
  <c r="N6" i="6" s="1"/>
  <c r="AJ5" i="6" l="1"/>
  <c r="AL5" i="6" s="1"/>
  <c r="AJ10" i="6"/>
  <c r="AJ9" i="6"/>
  <c r="AJ8" i="6"/>
  <c r="AL8" i="6" s="1"/>
  <c r="N13" i="6"/>
  <c r="N14" i="6" s="1"/>
  <c r="AJ6" i="6"/>
  <c r="AL6" i="6" s="1"/>
  <c r="U5" i="6"/>
  <c r="AJ7" i="6"/>
  <c r="AL7" i="6" s="1"/>
  <c r="AH6" i="6"/>
  <c r="AH8" i="6"/>
  <c r="AH7" i="6"/>
  <c r="AH5" i="6"/>
  <c r="U13" i="6"/>
</calcChain>
</file>

<file path=xl/sharedStrings.xml><?xml version="1.0" encoding="utf-8"?>
<sst xmlns="http://schemas.openxmlformats.org/spreadsheetml/2006/main" count="248" uniqueCount="137">
  <si>
    <t>PROCESSO DO PRODUTO</t>
  </si>
  <si>
    <t>FALB202</t>
  </si>
  <si>
    <t xml:space="preserve"> POLO 03A ML FEM</t>
  </si>
  <si>
    <t>Tecido</t>
  </si>
  <si>
    <t>FRESH LIGHT II ESC/FTES - PEMGIR</t>
  </si>
  <si>
    <t>Tempo</t>
  </si>
  <si>
    <t>Custo minuto</t>
  </si>
  <si>
    <t>Modelo</t>
  </si>
  <si>
    <t>Parte da peça</t>
  </si>
  <si>
    <t>Variação</t>
  </si>
  <si>
    <t>Tempo padrão</t>
  </si>
  <si>
    <t>Valor a ser descontado em caso de defeito</t>
  </si>
  <si>
    <t>Polo</t>
  </si>
  <si>
    <t>Nota: ao preencher essa etapa, se já houver outra peça identica, sugerir copiar os dados</t>
  </si>
  <si>
    <t>Porta cracha travessão</t>
  </si>
  <si>
    <t>Parte da peça (Variação)</t>
  </si>
  <si>
    <t>Atividade</t>
  </si>
  <si>
    <t>Gabaritar posição do porta cracha</t>
  </si>
  <si>
    <t>Mesa</t>
  </si>
  <si>
    <t>Costurar porta cracha</t>
  </si>
  <si>
    <t>Reta</t>
  </si>
  <si>
    <t>Pregar porta cracha</t>
  </si>
  <si>
    <t>Gabaritar dobra do patte</t>
  </si>
  <si>
    <t>Ferro</t>
  </si>
  <si>
    <t>Costurar patte</t>
  </si>
  <si>
    <t>Costurar gola de tecido pespontada</t>
  </si>
  <si>
    <t>Passar gola</t>
  </si>
  <si>
    <t>Pespontar gola</t>
  </si>
  <si>
    <t>Pregar ponta da gola no patte</t>
  </si>
  <si>
    <t>Pregar manga inferior na frente</t>
  </si>
  <si>
    <t>Overlock</t>
  </si>
  <si>
    <t>Pregar manga inferior nas costas</t>
  </si>
  <si>
    <t>Overlocar ponta do patte</t>
  </si>
  <si>
    <t>Unir ombros e recortes das mangas COM APARELHO 2,5</t>
  </si>
  <si>
    <t>Rebater costura dos ombros e manga</t>
  </si>
  <si>
    <t>Montar punho</t>
  </si>
  <si>
    <t>Passar manga</t>
  </si>
  <si>
    <t>Overlocar abertura lateral</t>
  </si>
  <si>
    <t>Fechar manga e lateral</t>
  </si>
  <si>
    <t>Pregar punho</t>
  </si>
  <si>
    <t>Pregar gola</t>
  </si>
  <si>
    <t>Costurar barra</t>
  </si>
  <si>
    <t>Galoneira</t>
  </si>
  <si>
    <t>Pregar vies na gola</t>
  </si>
  <si>
    <t>Rebater vies na gola</t>
  </si>
  <si>
    <t>Aparar rebarbar do vies, desvirar patte, marcar meio e conferir alinhamento</t>
  </si>
  <si>
    <t>Pespontar gola e pregar etiqueta</t>
  </si>
  <si>
    <t>Conferir qualidade da gola</t>
  </si>
  <si>
    <t>Costurar abertura lateral</t>
  </si>
  <si>
    <t>Colaborador</t>
  </si>
  <si>
    <t>Neusa</t>
  </si>
  <si>
    <t>Tam</t>
  </si>
  <si>
    <t>M</t>
  </si>
  <si>
    <t>Data</t>
  </si>
  <si>
    <t>Quant peças</t>
  </si>
  <si>
    <t>Eficiência</t>
  </si>
  <si>
    <t>Produção diária</t>
  </si>
  <si>
    <t>Inicio</t>
  </si>
  <si>
    <t>Dias necessários</t>
  </si>
  <si>
    <t>Termino</t>
  </si>
  <si>
    <t>Acabamento</t>
  </si>
  <si>
    <t>Ideal</t>
  </si>
  <si>
    <t>A</t>
  </si>
  <si>
    <t>B</t>
  </si>
  <si>
    <t>C</t>
  </si>
  <si>
    <t>Componentes</t>
  </si>
  <si>
    <t>Jornada de trabalho</t>
  </si>
  <si>
    <t>Total dia</t>
  </si>
  <si>
    <t>Jornada horas</t>
  </si>
  <si>
    <t>Jornada minutos</t>
  </si>
  <si>
    <t>Jornada total dos colaboradores</t>
  </si>
  <si>
    <t>Máx</t>
  </si>
  <si>
    <t>Pagamento</t>
  </si>
  <si>
    <t>Valor a receber se não houver peças com defeito</t>
  </si>
  <si>
    <t>D</t>
  </si>
  <si>
    <t>E</t>
  </si>
  <si>
    <t>Posto de trabalho</t>
  </si>
  <si>
    <t>Cliente</t>
  </si>
  <si>
    <t>Hospital Albert Einstein</t>
  </si>
  <si>
    <t>Cronometagem</t>
  </si>
  <si>
    <t>Máquina</t>
  </si>
  <si>
    <t>#</t>
  </si>
  <si>
    <t>Peças/hora</t>
  </si>
  <si>
    <t>Observação</t>
  </si>
  <si>
    <t>F</t>
  </si>
  <si>
    <t>Cronometrista</t>
  </si>
  <si>
    <t>Anna</t>
  </si>
  <si>
    <t>Descritista</t>
  </si>
  <si>
    <t>Rafa</t>
  </si>
  <si>
    <t>Costura</t>
  </si>
  <si>
    <t>Ref.</t>
  </si>
  <si>
    <t>Custo MO</t>
  </si>
  <si>
    <t>Planejamento de produção interna</t>
  </si>
  <si>
    <t>min</t>
  </si>
  <si>
    <t>Carga</t>
  </si>
  <si>
    <t>Preparo</t>
  </si>
  <si>
    <t>Planejamento de posto de trabalho</t>
  </si>
  <si>
    <t>Calculadora de custo por detalhes</t>
  </si>
  <si>
    <t>Gola do mesmo tecido pespontada</t>
  </si>
  <si>
    <t>Patte comum</t>
  </si>
  <si>
    <t>Barra dobrada galonada</t>
  </si>
  <si>
    <t>Manga longa com vies</t>
  </si>
  <si>
    <t>Punho dobrado</t>
  </si>
  <si>
    <t>Fenda lateral</t>
  </si>
  <si>
    <t>Descritivo de como costurar a peça com estimativa de tempo</t>
  </si>
  <si>
    <t>Peças/caixa</t>
  </si>
  <si>
    <t>Planejamento de produção externa</t>
  </si>
  <si>
    <t>Validação de facção</t>
  </si>
  <si>
    <t>Nome</t>
  </si>
  <si>
    <t>Elaine Jeans</t>
  </si>
  <si>
    <t>Máquinário utilizado</t>
  </si>
  <si>
    <t>Interlock</t>
  </si>
  <si>
    <t>Pespontadeira</t>
  </si>
  <si>
    <t>Enganzadeira</t>
  </si>
  <si>
    <t>Máquinarios:</t>
  </si>
  <si>
    <t>Pêndencia</t>
  </si>
  <si>
    <t>Jornada</t>
  </si>
  <si>
    <t>Horas</t>
  </si>
  <si>
    <t>Total ind</t>
  </si>
  <si>
    <t>Total fac</t>
  </si>
  <si>
    <t>Dia</t>
  </si>
  <si>
    <t>Bolar teste de facção</t>
  </si>
  <si>
    <t>⮾</t>
  </si>
  <si>
    <t>●</t>
  </si>
  <si>
    <t>Min.</t>
  </si>
  <si>
    <t>FIXO</t>
  </si>
  <si>
    <t>Produção interna</t>
  </si>
  <si>
    <t>produão Externa</t>
  </si>
  <si>
    <t>Marcar casa</t>
  </si>
  <si>
    <t>Revisar e arrematar</t>
  </si>
  <si>
    <t>Casear</t>
  </si>
  <si>
    <t>Botonar</t>
  </si>
  <si>
    <t>Dobrar</t>
  </si>
  <si>
    <t>Etiquetar</t>
  </si>
  <si>
    <t>Embalar</t>
  </si>
  <si>
    <t>Caseadeira</t>
  </si>
  <si>
    <t>Botoneira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</si>
</sst>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mm:ss.0;@"/>
    <numFmt numFmtId="165" formatCode="dd/mm/yy;@"/>
    <numFmt numFmtId="166" formatCode="0.0"/>
    <numFmt numFmtId="167" formatCode="d/m/yy\ h:mm;@"/>
    <numFmt numFmtId="168" formatCode="[h]:mm;@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theme="1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9">
    <xf numFmtId="0" fontId="0" fillId="0" borderId="0" xfId="0"/>
    <xf numFmtId="0" fontId="3" fillId="3" borderId="4" xfId="0" applyFont="1" applyFill="1" applyBorder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 applyProtection="1">
      <alignment horizontal="center" vertical="center"/>
      <protection locked="0"/>
    </xf>
    <xf numFmtId="0" fontId="3" fillId="4" borderId="0" xfId="0" applyFont="1" applyFill="1" applyAlignment="1">
      <alignment vertical="center"/>
    </xf>
    <xf numFmtId="20" fontId="0" fillId="4" borderId="8" xfId="0" applyNumberFormat="1" applyFill="1" applyBorder="1" applyAlignment="1">
      <alignment vertical="center"/>
    </xf>
    <xf numFmtId="20" fontId="0" fillId="4" borderId="9" xfId="0" applyNumberForma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20" fontId="0" fillId="4" borderId="4" xfId="0" applyNumberForma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16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44" fontId="5" fillId="4" borderId="6" xfId="2" applyFont="1" applyFill="1" applyBorder="1" applyAlignment="1">
      <alignment vertical="center"/>
    </xf>
    <xf numFmtId="1" fontId="0" fillId="3" borderId="0" xfId="0" applyNumberFormat="1" applyFill="1" applyAlignment="1" applyProtection="1">
      <alignment vertical="center"/>
      <protection hidden="1"/>
    </xf>
    <xf numFmtId="0" fontId="0" fillId="3" borderId="0" xfId="0" applyFill="1" applyAlignment="1" applyProtection="1">
      <alignment horizontal="center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0" fillId="3" borderId="9" xfId="0" applyFill="1" applyBorder="1"/>
    <xf numFmtId="0" fontId="0" fillId="3" borderId="12" xfId="0" applyFill="1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11" borderId="0" xfId="0" applyFill="1"/>
    <xf numFmtId="0" fontId="2" fillId="3" borderId="11" xfId="0" applyFont="1" applyFill="1" applyBorder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/>
    <xf numFmtId="0" fontId="0" fillId="3" borderId="4" xfId="0" applyFill="1" applyBorder="1" applyAlignment="1">
      <alignment horizontal="center"/>
    </xf>
    <xf numFmtId="0" fontId="0" fillId="4" borderId="4" xfId="0" applyFill="1" applyBorder="1"/>
    <xf numFmtId="0" fontId="3" fillId="4" borderId="4" xfId="0" applyFont="1" applyFill="1" applyBorder="1"/>
    <xf numFmtId="0" fontId="12" fillId="3" borderId="0" xfId="0" applyFont="1" applyFill="1"/>
    <xf numFmtId="0" fontId="3" fillId="3" borderId="6" xfId="0" applyFont="1" applyFill="1" applyBorder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10" borderId="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4" xfId="0" applyFont="1" applyBorder="1" applyAlignment="1" applyProtection="1">
      <alignment horizontal="center" vertical="center"/>
      <protection hidden="1"/>
    </xf>
    <xf numFmtId="0" fontId="5" fillId="10" borderId="4" xfId="0" applyFont="1" applyFill="1" applyBorder="1" applyAlignment="1" applyProtection="1">
      <alignment horizontal="center"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3" fillId="3" borderId="4" xfId="0" applyFont="1" applyFill="1" applyBorder="1" applyAlignment="1">
      <alignment horizontal="center" vertical="center"/>
    </xf>
    <xf numFmtId="2" fontId="5" fillId="10" borderId="4" xfId="0" applyNumberFormat="1" applyFont="1" applyFill="1" applyBorder="1" applyAlignment="1" applyProtection="1">
      <alignment horizontal="center" vertical="center"/>
      <protection hidden="1"/>
    </xf>
    <xf numFmtId="0" fontId="6" fillId="3" borderId="4" xfId="0" applyFont="1" applyFill="1" applyBorder="1" applyAlignment="1">
      <alignment horizontal="center" vertical="center"/>
    </xf>
    <xf numFmtId="44" fontId="5" fillId="10" borderId="4" xfId="2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9" fontId="7" fillId="0" borderId="4" xfId="3" applyFont="1" applyFill="1" applyBorder="1" applyAlignment="1" applyProtection="1">
      <alignment horizontal="center" vertical="center"/>
      <protection hidden="1"/>
    </xf>
    <xf numFmtId="0" fontId="9" fillId="3" borderId="4" xfId="0" applyFont="1" applyFill="1" applyBorder="1" applyAlignment="1">
      <alignment horizontal="center" vertical="center"/>
    </xf>
    <xf numFmtId="1" fontId="0" fillId="10" borderId="4" xfId="0" applyNumberFormat="1" applyFill="1" applyBorder="1" applyAlignment="1" applyProtection="1">
      <alignment horizontal="center" vertical="center"/>
      <protection hidden="1"/>
    </xf>
    <xf numFmtId="2" fontId="3" fillId="3" borderId="4" xfId="0" applyNumberFormat="1" applyFont="1" applyFill="1" applyBorder="1" applyAlignment="1">
      <alignment horizontal="center" vertical="center"/>
    </xf>
    <xf numFmtId="2" fontId="0" fillId="10" borderId="4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66" fontId="3" fillId="10" borderId="1" xfId="0" applyNumberFormat="1" applyFont="1" applyFill="1" applyBorder="1" applyAlignment="1">
      <alignment horizontal="center" vertical="center"/>
    </xf>
    <xf numFmtId="166" fontId="3" fillId="10" borderId="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66" fontId="0" fillId="10" borderId="4" xfId="0" applyNumberFormat="1" applyFill="1" applyBorder="1" applyAlignment="1" applyProtection="1">
      <alignment horizontal="center" vertical="center"/>
      <protection hidden="1"/>
    </xf>
    <xf numFmtId="167" fontId="3" fillId="3" borderId="1" xfId="0" applyNumberFormat="1" applyFont="1" applyFill="1" applyBorder="1" applyAlignment="1" applyProtection="1">
      <alignment horizontal="center" vertical="center"/>
      <protection hidden="1"/>
    </xf>
    <xf numFmtId="167" fontId="3" fillId="3" borderId="5" xfId="0" applyNumberFormat="1" applyFont="1" applyFill="1" applyBorder="1" applyAlignment="1" applyProtection="1">
      <alignment horizontal="center" vertical="center"/>
      <protection hidden="1"/>
    </xf>
    <xf numFmtId="166" fontId="0" fillId="10" borderId="1" xfId="0" applyNumberFormat="1" applyFill="1" applyBorder="1" applyAlignment="1" applyProtection="1">
      <alignment horizontal="center" vertical="center"/>
      <protection hidden="1"/>
    </xf>
    <xf numFmtId="166" fontId="0" fillId="10" borderId="5" xfId="0" applyNumberFormat="1" applyFill="1" applyBorder="1" applyAlignment="1" applyProtection="1">
      <alignment horizontal="center" vertical="center"/>
      <protection hidden="1"/>
    </xf>
    <xf numFmtId="9" fontId="11" fillId="10" borderId="1" xfId="3" applyFont="1" applyFill="1" applyBorder="1" applyAlignment="1" applyProtection="1">
      <alignment horizontal="center" vertical="center"/>
      <protection hidden="1"/>
    </xf>
    <xf numFmtId="9" fontId="11" fillId="10" borderId="5" xfId="3" applyFont="1" applyFill="1" applyBorder="1" applyAlignment="1" applyProtection="1">
      <alignment horizontal="center" vertical="center"/>
      <protection hidden="1"/>
    </xf>
    <xf numFmtId="9" fontId="0" fillId="10" borderId="1" xfId="3" applyFont="1" applyFill="1" applyBorder="1" applyAlignment="1">
      <alignment horizontal="center" vertical="center"/>
    </xf>
    <xf numFmtId="9" fontId="0" fillId="10" borderId="5" xfId="3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0" fillId="0" borderId="6" xfId="0" applyNumberFormat="1" applyBorder="1" applyAlignment="1" applyProtection="1">
      <alignment horizontal="center" vertical="center"/>
      <protection hidden="1"/>
    </xf>
    <xf numFmtId="165" fontId="0" fillId="10" borderId="6" xfId="0" applyNumberFormat="1" applyFill="1" applyBorder="1" applyAlignment="1" applyProtection="1">
      <alignment horizontal="center" vertical="center"/>
      <protection hidden="1"/>
    </xf>
    <xf numFmtId="166" fontId="0" fillId="0" borderId="4" xfId="0" applyNumberFormat="1" applyBorder="1" applyAlignment="1" applyProtection="1">
      <alignment horizontal="center" vertical="center"/>
      <protection hidden="1"/>
    </xf>
    <xf numFmtId="166" fontId="3" fillId="3" borderId="1" xfId="0" applyNumberFormat="1" applyFont="1" applyFill="1" applyBorder="1" applyAlignment="1" applyProtection="1">
      <alignment horizontal="center" vertical="center"/>
      <protection hidden="1"/>
    </xf>
    <xf numFmtId="166" fontId="3" fillId="3" borderId="5" xfId="0" applyNumberFormat="1" applyFont="1" applyFill="1" applyBorder="1" applyAlignment="1" applyProtection="1">
      <alignment horizontal="center" vertical="center"/>
      <protection hidden="1"/>
    </xf>
    <xf numFmtId="9" fontId="0" fillId="3" borderId="1" xfId="3" applyFont="1" applyFill="1" applyBorder="1" applyAlignment="1" applyProtection="1">
      <alignment horizontal="center" vertical="center"/>
      <protection hidden="1"/>
    </xf>
    <xf numFmtId="9" fontId="0" fillId="3" borderId="5" xfId="3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7" fontId="3" fillId="3" borderId="2" xfId="0" applyNumberFormat="1" applyFont="1" applyFill="1" applyBorder="1" applyAlignment="1" applyProtection="1">
      <alignment horizontal="center" vertical="center"/>
      <protection hidden="1"/>
    </xf>
    <xf numFmtId="9" fontId="0" fillId="10" borderId="2" xfId="3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66" fontId="0" fillId="10" borderId="8" xfId="0" applyNumberFormat="1" applyFill="1" applyBorder="1" applyAlignment="1" applyProtection="1">
      <alignment horizontal="center" vertical="center"/>
      <protection hidden="1"/>
    </xf>
    <xf numFmtId="20" fontId="0" fillId="10" borderId="1" xfId="0" applyNumberFormat="1" applyFill="1" applyBorder="1" applyAlignment="1">
      <alignment horizontal="center" vertical="center"/>
    </xf>
    <xf numFmtId="20" fontId="0" fillId="10" borderId="5" xfId="0" applyNumberFormat="1" applyFill="1" applyBorder="1" applyAlignment="1">
      <alignment horizontal="center" vertical="center"/>
    </xf>
    <xf numFmtId="1" fontId="0" fillId="3" borderId="4" xfId="0" applyNumberFormat="1" applyFill="1" applyBorder="1" applyAlignment="1" applyProtection="1">
      <alignment vertical="center"/>
      <protection hidden="1"/>
    </xf>
    <xf numFmtId="0" fontId="3" fillId="3" borderId="9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20" fontId="0" fillId="10" borderId="4" xfId="0" applyNumberFormat="1" applyFill="1" applyBorder="1" applyAlignment="1">
      <alignment vertical="center"/>
    </xf>
    <xf numFmtId="0" fontId="5" fillId="10" borderId="4" xfId="0" applyFont="1" applyFill="1" applyBorder="1" applyAlignment="1">
      <alignment vertical="center"/>
    </xf>
    <xf numFmtId="0" fontId="0" fillId="10" borderId="4" xfId="0" applyFill="1" applyBorder="1" applyAlignment="1">
      <alignment horizontal="center" vertical="center"/>
    </xf>
    <xf numFmtId="20" fontId="0" fillId="10" borderId="1" xfId="0" applyNumberFormat="1" applyFill="1" applyBorder="1" applyAlignment="1">
      <alignment vertical="center"/>
    </xf>
    <xf numFmtId="20" fontId="0" fillId="10" borderId="5" xfId="0" applyNumberFormat="1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10" borderId="9" xfId="0" applyFont="1" applyFill="1" applyBorder="1" applyAlignment="1" applyProtection="1">
      <alignment horizontal="center" vertical="center" wrapText="1"/>
      <protection hidden="1"/>
    </xf>
    <xf numFmtId="0" fontId="5" fillId="10" borderId="12" xfId="0" applyFont="1" applyFill="1" applyBorder="1" applyAlignment="1" applyProtection="1">
      <alignment horizontal="center" vertical="center" wrapText="1"/>
      <protection hidden="1"/>
    </xf>
    <xf numFmtId="0" fontId="5" fillId="10" borderId="3" xfId="0" applyFont="1" applyFill="1" applyBorder="1" applyAlignment="1" applyProtection="1">
      <alignment horizontal="center" vertical="center" wrapText="1"/>
      <protection hidden="1"/>
    </xf>
    <xf numFmtId="0" fontId="5" fillId="10" borderId="7" xfId="0" applyFont="1" applyFill="1" applyBorder="1" applyAlignment="1" applyProtection="1">
      <alignment horizontal="center" vertical="center" wrapText="1"/>
      <protection hidden="1"/>
    </xf>
    <xf numFmtId="0" fontId="5" fillId="10" borderId="10" xfId="0" applyFont="1" applyFill="1" applyBorder="1" applyAlignment="1" applyProtection="1">
      <alignment horizontal="center" vertical="center" wrapText="1"/>
      <protection hidden="1"/>
    </xf>
    <xf numFmtId="0" fontId="5" fillId="10" borderId="13" xfId="0" applyFont="1" applyFill="1" applyBorder="1" applyAlignment="1" applyProtection="1">
      <alignment horizontal="center" vertical="center" wrapText="1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3" fillId="3" borderId="4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44" fontId="0" fillId="10" borderId="4" xfId="0" applyNumberFormat="1" applyFill="1" applyBorder="1" applyAlignment="1">
      <alignment horizontal="center" vertical="center"/>
    </xf>
    <xf numFmtId="168" fontId="0" fillId="10" borderId="4" xfId="0" applyNumberFormat="1" applyFill="1" applyBorder="1" applyAlignment="1">
      <alignment vertical="center"/>
    </xf>
    <xf numFmtId="0" fontId="3" fillId="10" borderId="4" xfId="0" applyFont="1" applyFill="1" applyBorder="1"/>
    <xf numFmtId="2" fontId="0" fillId="10" borderId="1" xfId="0" applyNumberFormat="1" applyFill="1" applyBorder="1" applyAlignment="1">
      <alignment horizontal="center"/>
    </xf>
    <xf numFmtId="2" fontId="0" fillId="10" borderId="2" xfId="0" applyNumberFormat="1" applyFill="1" applyBorder="1" applyAlignment="1">
      <alignment horizontal="center"/>
    </xf>
    <xf numFmtId="2" fontId="0" fillId="10" borderId="5" xfId="0" applyNumberFormat="1" applyFill="1" applyBorder="1" applyAlignment="1">
      <alignment horizontal="center"/>
    </xf>
    <xf numFmtId="44" fontId="0" fillId="10" borderId="1" xfId="0" applyNumberFormat="1" applyFill="1" applyBorder="1" applyAlignment="1">
      <alignment horizontal="center"/>
    </xf>
    <xf numFmtId="44" fontId="0" fillId="10" borderId="2" xfId="0" applyNumberFormat="1" applyFill="1" applyBorder="1" applyAlignment="1">
      <alignment horizontal="center"/>
    </xf>
    <xf numFmtId="44" fontId="0" fillId="10" borderId="5" xfId="0" applyNumberFormat="1" applyFill="1" applyBorder="1" applyAlignment="1">
      <alignment horizont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3" borderId="5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0" fillId="9" borderId="2" xfId="0" applyFill="1" applyBorder="1"/>
    <xf numFmtId="0" fontId="0" fillId="9" borderId="5" xfId="0" applyFill="1" applyBorder="1"/>
    <xf numFmtId="0" fontId="0" fillId="0" borderId="4" xfId="0" applyBorder="1" applyAlignment="1">
      <alignment vertical="center"/>
    </xf>
    <xf numFmtId="47" fontId="8" fillId="0" borderId="1" xfId="0" applyNumberFormat="1" applyFont="1" applyBorder="1" applyAlignment="1">
      <alignment horizontal="left" vertical="center"/>
    </xf>
    <xf numFmtId="47" fontId="8" fillId="0" borderId="2" xfId="0" applyNumberFormat="1" applyFont="1" applyBorder="1" applyAlignment="1">
      <alignment horizontal="left" vertical="center"/>
    </xf>
    <xf numFmtId="47" fontId="8" fillId="0" borderId="5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2" fontId="0" fillId="10" borderId="1" xfId="1" applyNumberFormat="1" applyFont="1" applyFill="1" applyBorder="1" applyAlignment="1">
      <alignment horizontal="center" vertical="center"/>
    </xf>
    <xf numFmtId="2" fontId="0" fillId="10" borderId="2" xfId="1" applyNumberFormat="1" applyFont="1" applyFill="1" applyBorder="1" applyAlignment="1">
      <alignment horizontal="center" vertical="center"/>
    </xf>
    <xf numFmtId="2" fontId="0" fillId="10" borderId="5" xfId="1" applyNumberFormat="1" applyFont="1" applyFill="1" applyBorder="1" applyAlignment="1">
      <alignment horizontal="center" vertical="center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5" borderId="2" xfId="0" applyFill="1" applyBorder="1" applyAlignment="1" applyProtection="1">
      <alignment horizontal="left" vertical="center"/>
      <protection hidden="1"/>
    </xf>
    <xf numFmtId="0" fontId="0" fillId="5" borderId="5" xfId="0" applyFill="1" applyBorder="1" applyAlignment="1" applyProtection="1">
      <alignment horizontal="left" vertical="center"/>
      <protection hidden="1"/>
    </xf>
    <xf numFmtId="0" fontId="8" fillId="0" borderId="4" xfId="0" applyFont="1" applyBorder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9" borderId="1" xfId="0" applyFill="1" applyBorder="1" applyAlignment="1">
      <alignment vertical="center"/>
    </xf>
    <xf numFmtId="0" fontId="0" fillId="9" borderId="2" xfId="0" applyFill="1" applyBorder="1" applyAlignment="1">
      <alignment vertical="center"/>
    </xf>
    <xf numFmtId="0" fontId="0" fillId="9" borderId="5" xfId="0" applyFill="1" applyBorder="1" applyAlignment="1">
      <alignment vertical="center"/>
    </xf>
    <xf numFmtId="0" fontId="0" fillId="7" borderId="1" xfId="0" applyFill="1" applyBorder="1" applyAlignment="1" applyProtection="1">
      <alignment horizontal="left" vertical="center"/>
      <protection hidden="1"/>
    </xf>
    <xf numFmtId="0" fontId="0" fillId="7" borderId="2" xfId="0" applyFill="1" applyBorder="1" applyAlignment="1" applyProtection="1">
      <alignment horizontal="left" vertical="center"/>
      <protection hidden="1"/>
    </xf>
    <xf numFmtId="0" fontId="0" fillId="7" borderId="5" xfId="0" applyFill="1" applyBorder="1" applyAlignment="1" applyProtection="1">
      <alignment horizontal="left" vertical="center"/>
      <protection hidden="1"/>
    </xf>
    <xf numFmtId="0" fontId="0" fillId="0" borderId="1" xfId="0" applyBorder="1" applyAlignment="1" applyProtection="1">
      <alignment horizontal="left" vertical="center"/>
      <protection hidden="1"/>
    </xf>
    <xf numFmtId="0" fontId="0" fillId="0" borderId="2" xfId="0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left" vertical="center"/>
      <protection hidden="1"/>
    </xf>
    <xf numFmtId="47" fontId="0" fillId="0" borderId="1" xfId="0" applyNumberFormat="1" applyBorder="1" applyAlignment="1">
      <alignment horizontal="center" vertical="center"/>
    </xf>
    <xf numFmtId="47" fontId="0" fillId="0" borderId="2" xfId="0" applyNumberFormat="1" applyBorder="1" applyAlignment="1">
      <alignment horizontal="center" vertical="center"/>
    </xf>
    <xf numFmtId="47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2" xfId="0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9" xfId="0" applyFont="1" applyFill="1" applyBorder="1" applyAlignment="1" applyProtection="1">
      <alignment horizontal="left" vertical="center" wrapText="1"/>
      <protection hidden="1"/>
    </xf>
    <xf numFmtId="0" fontId="5" fillId="10" borderId="12" xfId="0" applyFont="1" applyFill="1" applyBorder="1" applyAlignment="1" applyProtection="1">
      <alignment horizontal="left" vertical="center" wrapText="1"/>
      <protection hidden="1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5" xfId="0" applyFont="1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FD58-525D-44AA-ACDB-B38A60BB4040}">
  <sheetPr>
    <outlinePr summaryBelow="0" summaryRight="0"/>
  </sheetPr>
  <dimension ref="A1:BQ72"/>
  <sheetViews>
    <sheetView showGridLines="0" tabSelected="1" topLeftCell="G1" zoomScaleNormal="100" workbookViewId="0">
      <pane ySplit="10" topLeftCell="A11" activePane="bottomLeft" state="frozen"/>
      <selection pane="bottomLeft" activeCell="A17" sqref="A17:AM17"/>
    </sheetView>
  </sheetViews>
  <sheetFormatPr defaultColWidth="2.7109375" defaultRowHeight="15" outlineLevelRow="1" x14ac:dyDescent="0.25"/>
  <cols>
    <col min="1" max="29" width="2.7109375" style="15" customWidth="1"/>
    <col min="30" max="41" width="2.7109375" style="15"/>
    <col min="42" max="42" width="4" style="15" customWidth="1"/>
    <col min="43" max="43" width="8.7109375" style="15" customWidth="1"/>
    <col min="44" max="44" width="9.7109375" style="15" customWidth="1"/>
    <col min="45" max="45" width="12.28515625" style="15" bestFit="1" customWidth="1"/>
    <col min="46" max="51" width="6.5703125" style="15" customWidth="1"/>
    <col min="52" max="16384" width="2.7109375" style="15"/>
  </cols>
  <sheetData>
    <row r="1" spans="1:49" ht="28.5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29"/>
    </row>
    <row r="2" spans="1:49" x14ac:dyDescent="0.25">
      <c r="A2" s="1" t="s">
        <v>90</v>
      </c>
      <c r="B2" s="1"/>
      <c r="C2" s="44" t="s">
        <v>1</v>
      </c>
      <c r="D2" s="44"/>
      <c r="E2" s="44"/>
      <c r="F2" s="44"/>
      <c r="G2" s="45" t="s">
        <v>2</v>
      </c>
      <c r="H2" s="45"/>
      <c r="I2" s="45"/>
      <c r="J2" s="45"/>
      <c r="K2" s="45"/>
      <c r="L2" s="45"/>
      <c r="M2" s="45"/>
      <c r="N2" s="46" t="s">
        <v>77</v>
      </c>
      <c r="O2" s="46"/>
      <c r="P2" s="46"/>
      <c r="Q2" s="45" t="s">
        <v>78</v>
      </c>
      <c r="R2" s="45"/>
      <c r="S2" s="45"/>
      <c r="T2" s="45"/>
      <c r="U2" s="45"/>
      <c r="V2" s="45"/>
      <c r="W2" s="45"/>
      <c r="X2" s="45"/>
      <c r="Y2" s="47" t="s">
        <v>5</v>
      </c>
      <c r="Z2" s="47"/>
      <c r="AA2" s="47"/>
      <c r="AB2" s="48">
        <f>SUM(AF34:AF104)</f>
        <v>46.366666666666646</v>
      </c>
      <c r="AC2" s="48"/>
      <c r="AD2" s="48"/>
      <c r="AE2" s="48"/>
      <c r="AF2" s="49" t="s">
        <v>91</v>
      </c>
      <c r="AG2" s="49"/>
      <c r="AH2" s="49"/>
      <c r="AI2" s="49"/>
      <c r="AJ2" s="50">
        <f>$AS$2*AB2</f>
        <v>17.155666666666658</v>
      </c>
      <c r="AK2" s="50"/>
      <c r="AL2" s="50"/>
      <c r="AM2" s="50"/>
      <c r="AN2" s="29"/>
      <c r="AQ2" s="17" t="s">
        <v>6</v>
      </c>
      <c r="AR2" s="17"/>
      <c r="AS2" s="18">
        <v>0.37</v>
      </c>
    </row>
    <row r="3" spans="1:49" x14ac:dyDescent="0.25">
      <c r="A3" s="51" t="s">
        <v>92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 t="s">
        <v>96</v>
      </c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27"/>
    </row>
    <row r="4" spans="1:49" outlineLevel="1" x14ac:dyDescent="0.25">
      <c r="A4" s="47" t="s">
        <v>55</v>
      </c>
      <c r="B4" s="47"/>
      <c r="C4" s="47"/>
      <c r="D4" s="47"/>
      <c r="E4" s="53">
        <v>0.85</v>
      </c>
      <c r="F4" s="53"/>
      <c r="G4" s="53"/>
      <c r="H4" s="53"/>
      <c r="I4" s="54" t="s">
        <v>56</v>
      </c>
      <c r="J4" s="54"/>
      <c r="K4" s="54"/>
      <c r="L4" s="54"/>
      <c r="M4" s="54"/>
      <c r="N4" s="55">
        <f>E4*U4</f>
        <v>37.617541337167523</v>
      </c>
      <c r="O4" s="55"/>
      <c r="P4" s="55"/>
      <c r="Q4" s="55"/>
      <c r="R4" s="56" t="s">
        <v>71</v>
      </c>
      <c r="S4" s="56"/>
      <c r="T4" s="56"/>
      <c r="U4" s="57">
        <f>AV6/AB2</f>
        <v>44.255930984902967</v>
      </c>
      <c r="V4" s="57"/>
      <c r="W4" s="57"/>
      <c r="X4" s="58" t="s">
        <v>89</v>
      </c>
      <c r="Y4" s="59"/>
      <c r="Z4" s="59"/>
      <c r="AA4" s="60"/>
      <c r="AB4" s="61">
        <v>4</v>
      </c>
      <c r="AC4" s="62"/>
      <c r="AD4" s="63" t="s">
        <v>61</v>
      </c>
      <c r="AE4" s="64"/>
      <c r="AF4" s="65">
        <f>(AB2-AF9)/AB4</f>
        <v>11.483333333333329</v>
      </c>
      <c r="AG4" s="66"/>
      <c r="AH4" s="67" t="s">
        <v>93</v>
      </c>
      <c r="AI4" s="68"/>
      <c r="AJ4" s="63" t="s">
        <v>94</v>
      </c>
      <c r="AK4" s="64"/>
      <c r="AL4" s="23"/>
      <c r="AM4" s="24"/>
      <c r="AN4" s="27"/>
      <c r="AQ4" s="5" t="s">
        <v>66</v>
      </c>
      <c r="AR4" s="6">
        <v>0.3125</v>
      </c>
      <c r="AS4" s="7">
        <v>0.5</v>
      </c>
      <c r="AT4" s="6">
        <v>0.54166666666666663</v>
      </c>
      <c r="AU4" s="6">
        <v>0.66666666666666663</v>
      </c>
      <c r="AV4" s="6">
        <v>0.67708333333333337</v>
      </c>
      <c r="AW4" s="7">
        <v>0.72083333333333333</v>
      </c>
    </row>
    <row r="5" spans="1:49" outlineLevel="1" x14ac:dyDescent="0.25">
      <c r="A5" s="49" t="s">
        <v>54</v>
      </c>
      <c r="B5" s="49"/>
      <c r="C5" s="49"/>
      <c r="D5" s="49"/>
      <c r="E5" s="69">
        <v>200</v>
      </c>
      <c r="F5" s="69"/>
      <c r="G5" s="69"/>
      <c r="H5" s="69"/>
      <c r="I5" s="70" t="s">
        <v>58</v>
      </c>
      <c r="J5" s="70"/>
      <c r="K5" s="70"/>
      <c r="L5" s="70"/>
      <c r="M5" s="70"/>
      <c r="N5" s="71">
        <f>ROUNDUP(AB2/E4*E5/AV6,0)</f>
        <v>6</v>
      </c>
      <c r="O5" s="71"/>
      <c r="P5" s="71"/>
      <c r="Q5" s="71"/>
      <c r="R5" s="70" t="s">
        <v>82</v>
      </c>
      <c r="S5" s="70"/>
      <c r="T5" s="70"/>
      <c r="U5" s="71">
        <f>N4/AT5</f>
        <v>4.3997124370956167</v>
      </c>
      <c r="V5" s="71"/>
      <c r="W5" s="71"/>
      <c r="X5" s="58" t="s">
        <v>95</v>
      </c>
      <c r="Y5" s="59"/>
      <c r="Z5" s="59"/>
      <c r="AA5" s="60"/>
      <c r="AB5" s="61">
        <v>1</v>
      </c>
      <c r="AC5" s="62"/>
      <c r="AD5" s="72" t="s">
        <v>63</v>
      </c>
      <c r="AE5" s="73"/>
      <c r="AF5" s="74">
        <f t="shared" ref="AF5:AF10" si="0">SUMIFS($AF$34:$AF$60,$AI$34:$AI$60,AD5)</f>
        <v>13.266666666666666</v>
      </c>
      <c r="AG5" s="75"/>
      <c r="AH5" s="76">
        <f>AF5/$AF$4</f>
        <v>1.1552975326560235</v>
      </c>
      <c r="AI5" s="77"/>
      <c r="AJ5" s="78">
        <f>AF5*$N$4/$AV$5</f>
        <v>0.97282530553558633</v>
      </c>
      <c r="AK5" s="79"/>
      <c r="AL5" s="28" t="str">
        <f>IF(AJ5&gt;1,"x","")</f>
        <v/>
      </c>
      <c r="AN5" s="27"/>
      <c r="AQ5" s="8" t="s">
        <v>67</v>
      </c>
      <c r="AR5" s="9">
        <f>(AU4-AT4)+(AS4-AR4)+(AW4-AV4)</f>
        <v>0.35624999999999996</v>
      </c>
      <c r="AS5" s="8" t="s">
        <v>68</v>
      </c>
      <c r="AT5" s="10">
        <f>AV5/60</f>
        <v>8.5500000000000007</v>
      </c>
      <c r="AU5" s="11" t="s">
        <v>69</v>
      </c>
      <c r="AV5" s="12">
        <f>(HOUR(AR5)*60)+MINUTE(AR5)+(SECOND(AR5)/60)</f>
        <v>513</v>
      </c>
    </row>
    <row r="6" spans="1:49" outlineLevel="1" x14ac:dyDescent="0.25">
      <c r="A6" s="80" t="s">
        <v>57</v>
      </c>
      <c r="B6" s="80"/>
      <c r="C6" s="80"/>
      <c r="D6" s="80"/>
      <c r="E6" s="81">
        <v>45929</v>
      </c>
      <c r="F6" s="81"/>
      <c r="G6" s="81"/>
      <c r="H6" s="81"/>
      <c r="I6" s="80" t="s">
        <v>59</v>
      </c>
      <c r="J6" s="80"/>
      <c r="K6" s="80"/>
      <c r="L6" s="80"/>
      <c r="M6" s="80"/>
      <c r="N6" s="82">
        <f>WORKDAY.INTL(E6,N5,1)</f>
        <v>45937</v>
      </c>
      <c r="O6" s="82"/>
      <c r="P6" s="82"/>
      <c r="Q6" s="82"/>
      <c r="R6" s="70" t="s">
        <v>105</v>
      </c>
      <c r="S6" s="70"/>
      <c r="T6" s="70"/>
      <c r="U6" s="83">
        <v>5</v>
      </c>
      <c r="V6" s="83"/>
      <c r="W6" s="83"/>
      <c r="X6" s="58" t="s">
        <v>60</v>
      </c>
      <c r="Y6" s="59"/>
      <c r="Z6" s="59"/>
      <c r="AA6" s="60"/>
      <c r="AB6" s="61">
        <v>1</v>
      </c>
      <c r="AC6" s="62"/>
      <c r="AD6" s="72" t="s">
        <v>64</v>
      </c>
      <c r="AE6" s="73"/>
      <c r="AF6" s="74">
        <f t="shared" si="0"/>
        <v>9.9499999999999993</v>
      </c>
      <c r="AG6" s="75"/>
      <c r="AH6" s="76">
        <f>AF6/$AF$4</f>
        <v>0.8664731494920177</v>
      </c>
      <c r="AI6" s="77"/>
      <c r="AJ6" s="78">
        <f>AF6*$N$4/$AV$5</f>
        <v>0.72961897915168983</v>
      </c>
      <c r="AK6" s="79"/>
      <c r="AL6" s="28" t="str">
        <f>IF(AJ6&gt;1,"x","")</f>
        <v/>
      </c>
      <c r="AN6" s="27"/>
      <c r="AP6" s="19"/>
      <c r="AQ6" s="8" t="s">
        <v>70</v>
      </c>
      <c r="AR6" s="13">
        <f>AR5*AB4</f>
        <v>1.4249999999999998</v>
      </c>
      <c r="AS6" s="11"/>
      <c r="AT6" s="14">
        <f>AT5*AB4</f>
        <v>34.200000000000003</v>
      </c>
      <c r="AU6" s="11"/>
      <c r="AV6" s="14">
        <f>AV5*AB4</f>
        <v>2052</v>
      </c>
    </row>
    <row r="7" spans="1:49" outlineLevel="1" x14ac:dyDescent="0.25">
      <c r="A7" s="185" t="s">
        <v>83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72" t="s">
        <v>74</v>
      </c>
      <c r="AE7" s="73"/>
      <c r="AF7" s="74">
        <f t="shared" si="0"/>
        <v>12.766666666666666</v>
      </c>
      <c r="AG7" s="75"/>
      <c r="AH7" s="76">
        <f>AF7/$AF$4</f>
        <v>1.1117561683599422</v>
      </c>
      <c r="AI7" s="77"/>
      <c r="AJ7" s="78">
        <f>AF7*$N$4/$AV$5</f>
        <v>0.93616103522645611</v>
      </c>
      <c r="AK7" s="79"/>
      <c r="AL7" s="28" t="str">
        <f>IF(AJ7&gt;1,"x","")</f>
        <v/>
      </c>
      <c r="AN7" s="27"/>
    </row>
    <row r="8" spans="1:49" outlineLevel="1" x14ac:dyDescent="0.25">
      <c r="A8" s="186"/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  <c r="Z8" s="186"/>
      <c r="AA8" s="186"/>
      <c r="AB8" s="186"/>
      <c r="AC8" s="186"/>
      <c r="AD8" s="72" t="s">
        <v>75</v>
      </c>
      <c r="AE8" s="73"/>
      <c r="AF8" s="74">
        <f t="shared" si="0"/>
        <v>9.9499999999999993</v>
      </c>
      <c r="AG8" s="75"/>
      <c r="AH8" s="76">
        <f>AF8/$AF$4</f>
        <v>0.8664731494920177</v>
      </c>
      <c r="AI8" s="77"/>
      <c r="AJ8" s="78">
        <f>AF8*$N$4/$AV$5</f>
        <v>0.72961897915168983</v>
      </c>
      <c r="AK8" s="79"/>
      <c r="AL8" s="28" t="str">
        <f>IF(AJ8&gt;1,"x","")</f>
        <v/>
      </c>
      <c r="AN8" s="27"/>
    </row>
    <row r="9" spans="1:49" outlineLevel="1" x14ac:dyDescent="0.25">
      <c r="AD9" s="84" t="s">
        <v>62</v>
      </c>
      <c r="AE9" s="85"/>
      <c r="AF9" s="74">
        <f t="shared" si="0"/>
        <v>0.43333333333333335</v>
      </c>
      <c r="AG9" s="75"/>
      <c r="AH9" s="86"/>
      <c r="AI9" s="87"/>
      <c r="AJ9" s="78">
        <f t="shared" ref="AJ9:AJ10" si="1">AF9*$N$4/$AV$5</f>
        <v>3.1775700934579452E-2</v>
      </c>
      <c r="AK9" s="79"/>
      <c r="AL9" s="28"/>
      <c r="AN9" s="27"/>
    </row>
    <row r="10" spans="1:49" outlineLevel="1" x14ac:dyDescent="0.25">
      <c r="AD10" s="72" t="s">
        <v>84</v>
      </c>
      <c r="AE10" s="73"/>
      <c r="AF10" s="74">
        <f t="shared" si="0"/>
        <v>0</v>
      </c>
      <c r="AG10" s="75"/>
      <c r="AH10" s="86"/>
      <c r="AI10" s="87"/>
      <c r="AJ10" s="78">
        <f t="shared" si="1"/>
        <v>0</v>
      </c>
      <c r="AK10" s="79"/>
      <c r="AN10" s="27"/>
    </row>
    <row r="11" spans="1:49" x14ac:dyDescent="0.25">
      <c r="A11" s="51" t="s">
        <v>106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92" t="s">
        <v>107</v>
      </c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4"/>
      <c r="AN11" s="31"/>
      <c r="AQ11" s="15" t="s">
        <v>121</v>
      </c>
    </row>
    <row r="12" spans="1:49" outlineLevel="1" x14ac:dyDescent="0.25">
      <c r="A12" s="47" t="s">
        <v>55</v>
      </c>
      <c r="B12" s="47"/>
      <c r="C12" s="47"/>
      <c r="D12" s="47"/>
      <c r="E12" s="53">
        <v>0.9</v>
      </c>
      <c r="F12" s="53"/>
      <c r="G12" s="53"/>
      <c r="H12" s="53"/>
      <c r="I12" s="54" t="s">
        <v>56</v>
      </c>
      <c r="J12" s="54"/>
      <c r="K12" s="54"/>
      <c r="L12" s="54"/>
      <c r="M12" s="54"/>
      <c r="N12" s="55">
        <f>E12*U12</f>
        <v>39.830337886412671</v>
      </c>
      <c r="O12" s="55"/>
      <c r="P12" s="55"/>
      <c r="Q12" s="55"/>
      <c r="R12" s="56" t="s">
        <v>71</v>
      </c>
      <c r="S12" s="56"/>
      <c r="T12" s="56"/>
      <c r="U12" s="57">
        <f>AL16/AB2</f>
        <v>44.255930984902967</v>
      </c>
      <c r="V12" s="57"/>
      <c r="W12" s="57"/>
      <c r="X12" s="63" t="s">
        <v>108</v>
      </c>
      <c r="Y12" s="88"/>
      <c r="Z12" s="64"/>
      <c r="AA12" s="89" t="s">
        <v>109</v>
      </c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1"/>
      <c r="AN12" s="31"/>
      <c r="AQ12" s="34" t="s">
        <v>110</v>
      </c>
      <c r="AR12" s="33"/>
    </row>
    <row r="13" spans="1:49" outlineLevel="1" x14ac:dyDescent="0.25">
      <c r="A13" s="49" t="s">
        <v>54</v>
      </c>
      <c r="B13" s="49"/>
      <c r="C13" s="49"/>
      <c r="D13" s="49"/>
      <c r="E13" s="69">
        <v>200</v>
      </c>
      <c r="F13" s="69"/>
      <c r="G13" s="69"/>
      <c r="H13" s="69"/>
      <c r="I13" s="70" t="s">
        <v>58</v>
      </c>
      <c r="J13" s="70"/>
      <c r="K13" s="70"/>
      <c r="L13" s="70"/>
      <c r="M13" s="70"/>
      <c r="N13" s="71">
        <f>ROUNDUP(AB2/E12*E13/AL16,0)</f>
        <v>6</v>
      </c>
      <c r="O13" s="71"/>
      <c r="P13" s="71"/>
      <c r="Q13" s="71"/>
      <c r="R13" s="70" t="s">
        <v>82</v>
      </c>
      <c r="S13" s="70"/>
      <c r="T13" s="70"/>
      <c r="U13" s="98">
        <f>N12/AH15</f>
        <v>4.6585190510424175</v>
      </c>
      <c r="V13" s="98"/>
      <c r="W13" s="98"/>
      <c r="X13" s="63" t="s">
        <v>65</v>
      </c>
      <c r="Y13" s="88"/>
      <c r="Z13" s="88"/>
      <c r="AA13" s="88"/>
      <c r="AB13" s="64"/>
      <c r="AC13" s="40">
        <v>4</v>
      </c>
      <c r="AD13" s="41"/>
      <c r="AE13" s="72" t="s">
        <v>114</v>
      </c>
      <c r="AF13" s="95"/>
      <c r="AG13" s="95"/>
      <c r="AH13" s="95"/>
      <c r="AI13" s="73"/>
      <c r="AJ13" s="78" t="s">
        <v>115</v>
      </c>
      <c r="AK13" s="96"/>
      <c r="AL13" s="96"/>
      <c r="AM13" s="79"/>
      <c r="AN13" s="31"/>
      <c r="AQ13" s="34" t="s">
        <v>20</v>
      </c>
      <c r="AR13" s="33" t="str">
        <f>IF(COUNTIF(Y34:AB60,AQ13)&gt;1,"1","0")</f>
        <v>1</v>
      </c>
    </row>
    <row r="14" spans="1:49" outlineLevel="1" x14ac:dyDescent="0.25">
      <c r="A14" s="80" t="s">
        <v>57</v>
      </c>
      <c r="B14" s="80"/>
      <c r="C14" s="80"/>
      <c r="D14" s="80"/>
      <c r="E14" s="81">
        <v>45929</v>
      </c>
      <c r="F14" s="81"/>
      <c r="G14" s="81"/>
      <c r="H14" s="81"/>
      <c r="I14" s="80" t="s">
        <v>59</v>
      </c>
      <c r="J14" s="80"/>
      <c r="K14" s="80"/>
      <c r="L14" s="80"/>
      <c r="M14" s="80"/>
      <c r="N14" s="82">
        <f>WORKDAY.INTL(E14,N13,1)</f>
        <v>45937</v>
      </c>
      <c r="O14" s="82"/>
      <c r="P14" s="82"/>
      <c r="Q14" s="82"/>
      <c r="R14" s="70" t="s">
        <v>105</v>
      </c>
      <c r="S14" s="70"/>
      <c r="T14" s="97"/>
      <c r="U14" s="83">
        <v>5</v>
      </c>
      <c r="V14" s="83"/>
      <c r="W14" s="83"/>
      <c r="X14" s="63" t="s">
        <v>116</v>
      </c>
      <c r="Y14" s="88"/>
      <c r="Z14" s="64"/>
      <c r="AA14" s="111">
        <v>0.3125</v>
      </c>
      <c r="AB14" s="112"/>
      <c r="AC14" s="99">
        <v>0.5</v>
      </c>
      <c r="AD14" s="100"/>
      <c r="AE14" s="111">
        <v>0.54166666666666663</v>
      </c>
      <c r="AF14" s="112"/>
      <c r="AG14" s="111">
        <v>0.7104166666666667</v>
      </c>
      <c r="AH14" s="112"/>
      <c r="AI14" s="99"/>
      <c r="AJ14" s="100"/>
      <c r="AK14" s="99"/>
      <c r="AL14" s="100"/>
      <c r="AN14" s="31"/>
      <c r="AQ14" s="34" t="s">
        <v>30</v>
      </c>
      <c r="AR14" s="33" t="str">
        <f>IF(COUNTIF(Y35:AB60,AQ14)&gt;1,"1","0")</f>
        <v>1</v>
      </c>
      <c r="AU14" s="29"/>
      <c r="AV14" s="15" t="s">
        <v>125</v>
      </c>
    </row>
    <row r="15" spans="1:49" outlineLevel="1" x14ac:dyDescent="0.25">
      <c r="A15" s="51" t="s">
        <v>72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101" t="s">
        <v>118</v>
      </c>
      <c r="Y15" s="101"/>
      <c r="Z15" s="101"/>
      <c r="AA15" s="102" t="s">
        <v>120</v>
      </c>
      <c r="AB15" s="103"/>
      <c r="AC15" s="104"/>
      <c r="AD15" s="108">
        <f>(AG14-AE14)+(AC14-AA14)+(AK14-AI14)</f>
        <v>0.35625000000000007</v>
      </c>
      <c r="AE15" s="108"/>
      <c r="AF15" s="102" t="s">
        <v>117</v>
      </c>
      <c r="AG15" s="104"/>
      <c r="AH15" s="109">
        <f>AL15/60</f>
        <v>8.5500000000000007</v>
      </c>
      <c r="AI15" s="109"/>
      <c r="AJ15" s="102" t="s">
        <v>124</v>
      </c>
      <c r="AK15" s="104"/>
      <c r="AL15" s="110">
        <f>(HOUR(AD15)*60)+MINUTE(AD15)+(SECOND(AD15)/60)</f>
        <v>513</v>
      </c>
      <c r="AM15" s="110"/>
      <c r="AN15" s="31"/>
      <c r="AQ15" s="34" t="s">
        <v>111</v>
      </c>
      <c r="AR15" s="33" t="str">
        <f>IF(COUNTIF(Y36:AB60,AQ15)&gt;1,"1","0")</f>
        <v>0</v>
      </c>
      <c r="AU15" s="27"/>
      <c r="AV15" s="15" t="s">
        <v>126</v>
      </c>
    </row>
    <row r="16" spans="1:49" outlineLevel="1" x14ac:dyDescent="0.25">
      <c r="A16" s="47" t="s">
        <v>73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126">
        <f>E13*AJ2</f>
        <v>3431.1333333333314</v>
      </c>
      <c r="S16" s="126"/>
      <c r="T16" s="126"/>
      <c r="U16" s="126"/>
      <c r="V16" s="126"/>
      <c r="W16" s="126"/>
      <c r="X16" s="101" t="s">
        <v>119</v>
      </c>
      <c r="Y16" s="101"/>
      <c r="Z16" s="101"/>
      <c r="AA16" s="105"/>
      <c r="AB16" s="106"/>
      <c r="AC16" s="107"/>
      <c r="AD16" s="127">
        <f>AD15*AC13</f>
        <v>1.4250000000000003</v>
      </c>
      <c r="AE16" s="127"/>
      <c r="AF16" s="105"/>
      <c r="AG16" s="107"/>
      <c r="AH16" s="113">
        <f>AH15*AC13</f>
        <v>34.200000000000003</v>
      </c>
      <c r="AI16" s="113"/>
      <c r="AJ16" s="105"/>
      <c r="AK16" s="107"/>
      <c r="AL16" s="113">
        <f>AL15*AC13</f>
        <v>2052</v>
      </c>
      <c r="AM16" s="113"/>
      <c r="AN16" s="31"/>
      <c r="AQ16" s="34" t="s">
        <v>42</v>
      </c>
      <c r="AR16" s="33" t="str">
        <f>IF(COUNTIF(Y37:AB61,AQ16)&gt;1,"1","0")</f>
        <v>0</v>
      </c>
      <c r="AU16" s="31"/>
      <c r="AV16" s="15" t="s">
        <v>127</v>
      </c>
    </row>
    <row r="17" spans="1:44" outlineLevel="1" x14ac:dyDescent="0.25">
      <c r="A17" s="92" t="s">
        <v>97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4"/>
      <c r="AN17" s="31"/>
      <c r="AQ17" s="34" t="s">
        <v>112</v>
      </c>
      <c r="AR17" s="33" t="str">
        <f>IF(COUNTIF(Y38:AB62,AQ17)&gt;1,"1","0")</f>
        <v>0</v>
      </c>
    </row>
    <row r="18" spans="1:44" ht="14.45" customHeight="1" outlineLevel="1" x14ac:dyDescent="0.25">
      <c r="A18" s="114" t="s">
        <v>7</v>
      </c>
      <c r="B18" s="114"/>
      <c r="C18" s="114"/>
      <c r="D18" s="114"/>
      <c r="E18" s="114"/>
      <c r="F18" s="115" t="str">
        <f>A19&amp;" com: "&amp;F22&amp;"; "&amp;F23&amp;"; "&amp;F24&amp;"; "&amp;F25&amp;"; "&amp;F26&amp;"; "&amp;F27&amp;"; "&amp;F28&amp;"; "</f>
        <v xml:space="preserve">Polo com: Gola do mesmo tecido pespontada; Patte comum; Barra dobrada galonada; Manga longa com vies; Punho dobrado; Fenda lateral; Porta cracha travessão; </v>
      </c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7"/>
      <c r="AN18" s="31"/>
      <c r="AQ18" s="34" t="s">
        <v>113</v>
      </c>
      <c r="AR18" s="33" t="str">
        <f>IF(COUNTIF(Y39:AB63,AQ18)&gt;1,"1","0")</f>
        <v>0</v>
      </c>
    </row>
    <row r="19" spans="1:44" outlineLevel="1" x14ac:dyDescent="0.25">
      <c r="A19" s="121" t="s">
        <v>12</v>
      </c>
      <c r="B19" s="121"/>
      <c r="C19" s="121"/>
      <c r="D19" s="121"/>
      <c r="E19" s="121"/>
      <c r="F19" s="118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20"/>
      <c r="AN19" s="31"/>
    </row>
    <row r="20" spans="1:44" outlineLevel="1" x14ac:dyDescent="0.25">
      <c r="A20" s="114" t="s">
        <v>3</v>
      </c>
      <c r="B20" s="114"/>
      <c r="C20" s="114"/>
      <c r="D20" s="114"/>
      <c r="E20" s="114"/>
      <c r="F20" s="198" t="s">
        <v>4</v>
      </c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31"/>
    </row>
    <row r="21" spans="1:44" outlineLevel="1" x14ac:dyDescent="0.25">
      <c r="A21" s="122" t="s">
        <v>8</v>
      </c>
      <c r="B21" s="122"/>
      <c r="C21" s="122"/>
      <c r="D21" s="122"/>
      <c r="E21" s="122"/>
      <c r="F21" s="200" t="s">
        <v>9</v>
      </c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  <c r="AA21" s="201"/>
      <c r="AB21" s="201"/>
      <c r="AC21" s="201"/>
      <c r="AD21" s="201"/>
      <c r="AE21" s="202"/>
      <c r="AF21" s="123" t="s">
        <v>10</v>
      </c>
      <c r="AG21" s="124"/>
      <c r="AH21" s="125"/>
      <c r="AI21" s="25" t="s">
        <v>11</v>
      </c>
      <c r="AJ21" s="26"/>
      <c r="AK21" s="22"/>
      <c r="AN21" s="31"/>
    </row>
    <row r="22" spans="1:44" outlineLevel="1" x14ac:dyDescent="0.25">
      <c r="A22" s="128" t="e">
        <f>HLOOKUP(A19,#REF!,2,FALSE)</f>
        <v>#REF!</v>
      </c>
      <c r="B22" s="128"/>
      <c r="C22" s="128"/>
      <c r="D22" s="128"/>
      <c r="E22" s="128"/>
      <c r="F22" s="203" t="s">
        <v>98</v>
      </c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5"/>
      <c r="AF22" s="129">
        <f t="shared" ref="AF22:AF31" si="2">SUMIFS(AF:AF,B:B,F22)</f>
        <v>12.1</v>
      </c>
      <c r="AG22" s="130"/>
      <c r="AH22" s="131"/>
      <c r="AI22" s="132">
        <f t="shared" ref="AI22:AI28" si="3">AF22*$AS$2</f>
        <v>4.4769999999999994</v>
      </c>
      <c r="AJ22" s="133"/>
      <c r="AK22" s="134"/>
      <c r="AL22" s="35" t="s">
        <v>123</v>
      </c>
      <c r="AN22" s="31"/>
    </row>
    <row r="23" spans="1:44" outlineLevel="1" x14ac:dyDescent="0.25">
      <c r="A23" s="128" t="e">
        <f>HLOOKUP(A19,#REF!,3,FALSE)</f>
        <v>#REF!</v>
      </c>
      <c r="B23" s="128"/>
      <c r="C23" s="128"/>
      <c r="D23" s="128"/>
      <c r="E23" s="128"/>
      <c r="F23" s="193" t="s">
        <v>99</v>
      </c>
      <c r="G23" s="194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5"/>
      <c r="AF23" s="129">
        <f t="shared" si="2"/>
        <v>13.633333333333333</v>
      </c>
      <c r="AG23" s="130"/>
      <c r="AH23" s="131"/>
      <c r="AI23" s="132">
        <f t="shared" si="3"/>
        <v>5.0443333333333333</v>
      </c>
      <c r="AJ23" s="133"/>
      <c r="AK23" s="134"/>
      <c r="AL23" s="35" t="s">
        <v>123</v>
      </c>
      <c r="AN23" s="31"/>
    </row>
    <row r="24" spans="1:44" outlineLevel="1" x14ac:dyDescent="0.25">
      <c r="A24" s="128" t="e">
        <f>HLOOKUP(A19,#REF!,4,FALSE)</f>
        <v>#REF!</v>
      </c>
      <c r="B24" s="128"/>
      <c r="C24" s="128"/>
      <c r="D24" s="128"/>
      <c r="E24" s="128"/>
      <c r="F24" s="193" t="s">
        <v>100</v>
      </c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5"/>
      <c r="AF24" s="129">
        <f t="shared" si="2"/>
        <v>1.1833333333333333</v>
      </c>
      <c r="AG24" s="130"/>
      <c r="AH24" s="131"/>
      <c r="AI24" s="132">
        <f t="shared" si="3"/>
        <v>0.43783333333333335</v>
      </c>
      <c r="AJ24" s="133"/>
      <c r="AK24" s="134"/>
      <c r="AL24" s="35" t="s">
        <v>123</v>
      </c>
      <c r="AN24" s="31"/>
    </row>
    <row r="25" spans="1:44" outlineLevel="1" x14ac:dyDescent="0.25">
      <c r="A25" s="128" t="e">
        <f>HLOOKUP(A19,#REF!,5,FALSE)</f>
        <v>#REF!</v>
      </c>
      <c r="B25" s="128"/>
      <c r="C25" s="128"/>
      <c r="D25" s="128"/>
      <c r="E25" s="128"/>
      <c r="F25" s="193" t="s">
        <v>101</v>
      </c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5"/>
      <c r="AF25" s="129">
        <f t="shared" si="2"/>
        <v>9.1166666666666671</v>
      </c>
      <c r="AG25" s="130"/>
      <c r="AH25" s="131"/>
      <c r="AI25" s="132">
        <f t="shared" si="3"/>
        <v>3.3731666666666666</v>
      </c>
      <c r="AJ25" s="133"/>
      <c r="AK25" s="134"/>
      <c r="AL25" s="35" t="s">
        <v>123</v>
      </c>
      <c r="AN25" s="31"/>
    </row>
    <row r="26" spans="1:44" outlineLevel="1" x14ac:dyDescent="0.25">
      <c r="A26" s="128" t="e">
        <f>HLOOKUP(A19,#REF!,6,FALSE)</f>
        <v>#REF!</v>
      </c>
      <c r="B26" s="128"/>
      <c r="C26" s="128"/>
      <c r="D26" s="128"/>
      <c r="E26" s="128"/>
      <c r="F26" s="193" t="s">
        <v>102</v>
      </c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194"/>
      <c r="W26" s="194"/>
      <c r="X26" s="194"/>
      <c r="Y26" s="194"/>
      <c r="Z26" s="194"/>
      <c r="AA26" s="194"/>
      <c r="AB26" s="194"/>
      <c r="AC26" s="194"/>
      <c r="AD26" s="194"/>
      <c r="AE26" s="195"/>
      <c r="AF26" s="129">
        <f t="shared" si="2"/>
        <v>2.6166666666666667</v>
      </c>
      <c r="AG26" s="130"/>
      <c r="AH26" s="131"/>
      <c r="AI26" s="132">
        <f t="shared" si="3"/>
        <v>0.96816666666666662</v>
      </c>
      <c r="AJ26" s="133"/>
      <c r="AK26" s="134"/>
      <c r="AL26" s="35" t="s">
        <v>123</v>
      </c>
      <c r="AN26" s="31"/>
    </row>
    <row r="27" spans="1:44" outlineLevel="1" x14ac:dyDescent="0.25">
      <c r="A27" s="128" t="e">
        <f>HLOOKUP(A19,#REF!,7,FALSE)</f>
        <v>#REF!</v>
      </c>
      <c r="B27" s="128"/>
      <c r="C27" s="128"/>
      <c r="D27" s="128"/>
      <c r="E27" s="128"/>
      <c r="F27" s="193" t="s">
        <v>103</v>
      </c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5"/>
      <c r="AF27" s="129">
        <f t="shared" si="2"/>
        <v>2</v>
      </c>
      <c r="AG27" s="130"/>
      <c r="AH27" s="131"/>
      <c r="AI27" s="132">
        <f t="shared" si="3"/>
        <v>0.74</v>
      </c>
      <c r="AJ27" s="133"/>
      <c r="AK27" s="134"/>
      <c r="AL27" s="35" t="s">
        <v>123</v>
      </c>
      <c r="AN27" s="31"/>
    </row>
    <row r="28" spans="1:44" outlineLevel="1" x14ac:dyDescent="0.25">
      <c r="A28" s="128" t="e">
        <f>HLOOKUP(A19,#REF!,8,FALSE)</f>
        <v>#REF!</v>
      </c>
      <c r="B28" s="128"/>
      <c r="C28" s="128"/>
      <c r="D28" s="128"/>
      <c r="E28" s="128"/>
      <c r="F28" s="193" t="s">
        <v>14</v>
      </c>
      <c r="G28" s="194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194"/>
      <c r="X28" s="194"/>
      <c r="Y28" s="194"/>
      <c r="Z28" s="194"/>
      <c r="AA28" s="194"/>
      <c r="AB28" s="194"/>
      <c r="AC28" s="194"/>
      <c r="AD28" s="194"/>
      <c r="AE28" s="195"/>
      <c r="AF28" s="129">
        <f t="shared" si="2"/>
        <v>5.7166666666666668</v>
      </c>
      <c r="AG28" s="130"/>
      <c r="AH28" s="131"/>
      <c r="AI28" s="132">
        <f t="shared" si="3"/>
        <v>2.1151666666666666</v>
      </c>
      <c r="AJ28" s="133"/>
      <c r="AK28" s="134"/>
      <c r="AL28" s="35" t="s">
        <v>123</v>
      </c>
      <c r="AN28" s="31"/>
    </row>
    <row r="29" spans="1:44" outlineLevel="1" x14ac:dyDescent="0.25">
      <c r="A29" s="128" t="e">
        <f>HLOOKUP(A19,#REF!,9,FALSE)</f>
        <v>#REF!</v>
      </c>
      <c r="B29" s="128"/>
      <c r="C29" s="128"/>
      <c r="D29" s="128"/>
      <c r="E29" s="128"/>
      <c r="F29" s="193"/>
      <c r="G29" s="194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5"/>
      <c r="AF29" s="129">
        <f t="shared" si="2"/>
        <v>0</v>
      </c>
      <c r="AG29" s="130"/>
      <c r="AH29" s="131"/>
      <c r="AI29" s="132">
        <f t="shared" ref="AI29:AI31" si="4">AF29*$AS$2</f>
        <v>0</v>
      </c>
      <c r="AJ29" s="133"/>
      <c r="AK29" s="134"/>
      <c r="AL29" s="35" t="s">
        <v>122</v>
      </c>
      <c r="AN29" s="31"/>
    </row>
    <row r="30" spans="1:44" outlineLevel="1" x14ac:dyDescent="0.25">
      <c r="A30" s="128" t="e">
        <f>HLOOKUP(A19,#REF!,10,FALSE)</f>
        <v>#REF!</v>
      </c>
      <c r="B30" s="128"/>
      <c r="C30" s="128"/>
      <c r="D30" s="128"/>
      <c r="E30" s="128"/>
      <c r="F30" s="193"/>
      <c r="G30" s="194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194"/>
      <c r="W30" s="194"/>
      <c r="X30" s="194"/>
      <c r="Y30" s="194"/>
      <c r="Z30" s="194"/>
      <c r="AA30" s="194"/>
      <c r="AB30" s="194"/>
      <c r="AC30" s="194"/>
      <c r="AD30" s="194"/>
      <c r="AE30" s="195"/>
      <c r="AF30" s="129">
        <f t="shared" si="2"/>
        <v>0</v>
      </c>
      <c r="AG30" s="130"/>
      <c r="AH30" s="131"/>
      <c r="AI30" s="132">
        <f t="shared" si="4"/>
        <v>0</v>
      </c>
      <c r="AJ30" s="133"/>
      <c r="AK30" s="134"/>
      <c r="AL30" s="35" t="s">
        <v>122</v>
      </c>
      <c r="AN30" s="31"/>
    </row>
    <row r="31" spans="1:44" outlineLevel="1" x14ac:dyDescent="0.25">
      <c r="A31" s="128" t="e">
        <f>HLOOKUP(A19,#REF!,11,FALSE)</f>
        <v>#REF!</v>
      </c>
      <c r="B31" s="128"/>
      <c r="C31" s="128"/>
      <c r="D31" s="128"/>
      <c r="E31" s="128"/>
      <c r="F31" s="193"/>
      <c r="G31" s="194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5"/>
      <c r="AF31" s="129">
        <f t="shared" si="2"/>
        <v>0</v>
      </c>
      <c r="AG31" s="130"/>
      <c r="AH31" s="131"/>
      <c r="AI31" s="132">
        <f t="shared" si="4"/>
        <v>0</v>
      </c>
      <c r="AJ31" s="133"/>
      <c r="AK31" s="134"/>
      <c r="AL31" s="35" t="s">
        <v>122</v>
      </c>
      <c r="AN31" s="31"/>
    </row>
    <row r="32" spans="1:44" x14ac:dyDescent="0.25">
      <c r="A32" s="92" t="s">
        <v>104</v>
      </c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4"/>
      <c r="AN32" s="29"/>
    </row>
    <row r="33" spans="1:69" ht="14.45" customHeight="1" x14ac:dyDescent="0.25">
      <c r="A33" s="3" t="s">
        <v>81</v>
      </c>
      <c r="B33" s="135" t="s">
        <v>15</v>
      </c>
      <c r="C33" s="136"/>
      <c r="D33" s="136"/>
      <c r="E33" s="136"/>
      <c r="F33" s="137" t="s">
        <v>16</v>
      </c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63" t="s">
        <v>80</v>
      </c>
      <c r="Z33" s="88"/>
      <c r="AA33" s="88"/>
      <c r="AB33" s="64"/>
      <c r="AC33" s="142" t="s">
        <v>5</v>
      </c>
      <c r="AD33" s="143"/>
      <c r="AE33" s="144"/>
      <c r="AF33" s="138" t="s">
        <v>5</v>
      </c>
      <c r="AG33" s="139"/>
      <c r="AH33" s="140"/>
      <c r="AI33" s="141" t="s">
        <v>76</v>
      </c>
      <c r="AJ33" s="141"/>
      <c r="AK33" s="141"/>
      <c r="AN33" s="29"/>
      <c r="BQ33" s="2" t="s">
        <v>13</v>
      </c>
    </row>
    <row r="34" spans="1:69" x14ac:dyDescent="0.25">
      <c r="A34" s="4">
        <v>1</v>
      </c>
      <c r="B34" s="145" t="s">
        <v>14</v>
      </c>
      <c r="C34" s="146"/>
      <c r="D34" s="146"/>
      <c r="E34" s="147"/>
      <c r="F34" s="148" t="s">
        <v>17</v>
      </c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58" t="s">
        <v>18</v>
      </c>
      <c r="Z34" s="159"/>
      <c r="AA34" s="159"/>
      <c r="AB34" s="160"/>
      <c r="AC34" s="152">
        <v>3.0590277777777777E-4</v>
      </c>
      <c r="AD34" s="153"/>
      <c r="AE34" s="154"/>
      <c r="AF34" s="155">
        <f>MINUTE(AC34)+(SECOND(AC34)/60)</f>
        <v>0.43333333333333335</v>
      </c>
      <c r="AG34" s="156"/>
      <c r="AH34" s="157"/>
      <c r="AI34" s="69" t="s">
        <v>62</v>
      </c>
      <c r="AJ34" s="69"/>
      <c r="AK34" s="69"/>
      <c r="AN34" s="29"/>
    </row>
    <row r="35" spans="1:69" x14ac:dyDescent="0.25">
      <c r="A35" s="4">
        <v>2</v>
      </c>
      <c r="B35" s="145" t="s">
        <v>14</v>
      </c>
      <c r="C35" s="146"/>
      <c r="D35" s="146"/>
      <c r="E35" s="147"/>
      <c r="F35" s="148" t="s">
        <v>19</v>
      </c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9" t="s">
        <v>20</v>
      </c>
      <c r="Z35" s="150"/>
      <c r="AA35" s="150"/>
      <c r="AB35" s="151"/>
      <c r="AC35" s="152">
        <v>5.591435185185185E-4</v>
      </c>
      <c r="AD35" s="153"/>
      <c r="AE35" s="154"/>
      <c r="AF35" s="155">
        <f>MINUTE(AC35)+(SECOND(AC35)/60)</f>
        <v>0.8</v>
      </c>
      <c r="AG35" s="156"/>
      <c r="AH35" s="157"/>
      <c r="AI35" s="69" t="s">
        <v>63</v>
      </c>
      <c r="AJ35" s="69"/>
      <c r="AK35" s="69"/>
      <c r="AN35" s="29"/>
    </row>
    <row r="36" spans="1:69" x14ac:dyDescent="0.25">
      <c r="A36" s="4">
        <v>3</v>
      </c>
      <c r="B36" s="145" t="s">
        <v>14</v>
      </c>
      <c r="C36" s="146"/>
      <c r="D36" s="146"/>
      <c r="E36" s="147"/>
      <c r="F36" s="165" t="s">
        <v>21</v>
      </c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49" t="s">
        <v>20</v>
      </c>
      <c r="Z36" s="150"/>
      <c r="AA36" s="150"/>
      <c r="AB36" s="151"/>
      <c r="AC36" s="152">
        <v>1.1471064814814814E-3</v>
      </c>
      <c r="AD36" s="153"/>
      <c r="AE36" s="154"/>
      <c r="AF36" s="155">
        <f>MINUTE(AC36)+(SECOND(AC36)/60)</f>
        <v>1.65</v>
      </c>
      <c r="AG36" s="156"/>
      <c r="AH36" s="157"/>
      <c r="AI36" s="69" t="s">
        <v>63</v>
      </c>
      <c r="AJ36" s="69"/>
      <c r="AK36" s="69"/>
      <c r="AN36" s="29"/>
    </row>
    <row r="37" spans="1:69" x14ac:dyDescent="0.25">
      <c r="A37" s="4">
        <v>4</v>
      </c>
      <c r="B37" s="145" t="s">
        <v>14</v>
      </c>
      <c r="C37" s="146"/>
      <c r="D37" s="146"/>
      <c r="E37" s="147"/>
      <c r="F37" s="161" t="s">
        <v>22</v>
      </c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2" t="s">
        <v>23</v>
      </c>
      <c r="Z37" s="163"/>
      <c r="AA37" s="163"/>
      <c r="AB37" s="164"/>
      <c r="AC37" s="152">
        <v>1.9645833333333334E-3</v>
      </c>
      <c r="AD37" s="153"/>
      <c r="AE37" s="154"/>
      <c r="AF37" s="155">
        <f>MINUTE(AC37)+(SECOND(AC37)/60)</f>
        <v>2.8333333333333335</v>
      </c>
      <c r="AG37" s="156"/>
      <c r="AH37" s="157"/>
      <c r="AI37" s="69" t="s">
        <v>63</v>
      </c>
      <c r="AJ37" s="69"/>
      <c r="AK37" s="69"/>
      <c r="AN37" s="29"/>
    </row>
    <row r="38" spans="1:69" x14ac:dyDescent="0.25">
      <c r="A38" s="4">
        <v>5</v>
      </c>
      <c r="B38" s="145" t="s">
        <v>99</v>
      </c>
      <c r="C38" s="146"/>
      <c r="D38" s="146"/>
      <c r="E38" s="147"/>
      <c r="F38" s="161" t="s">
        <v>24</v>
      </c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49" t="s">
        <v>20</v>
      </c>
      <c r="Z38" s="150"/>
      <c r="AA38" s="150"/>
      <c r="AB38" s="151"/>
      <c r="AC38" s="152">
        <v>3.5878703703703706E-3</v>
      </c>
      <c r="AD38" s="153"/>
      <c r="AE38" s="154"/>
      <c r="AF38" s="155">
        <f t="shared" ref="AF38:AF44" si="5">MINUTE(AC38)+(SECOND(AC38)/60)</f>
        <v>5.166666666666667</v>
      </c>
      <c r="AG38" s="156"/>
      <c r="AH38" s="157"/>
      <c r="AI38" s="69" t="s">
        <v>63</v>
      </c>
      <c r="AJ38" s="69"/>
      <c r="AK38" s="69"/>
      <c r="AN38" s="29"/>
    </row>
    <row r="39" spans="1:69" x14ac:dyDescent="0.25">
      <c r="A39" s="4">
        <v>6</v>
      </c>
      <c r="B39" s="145" t="s">
        <v>99</v>
      </c>
      <c r="C39" s="146"/>
      <c r="D39" s="146"/>
      <c r="E39" s="147"/>
      <c r="F39" s="165" t="s">
        <v>25</v>
      </c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49" t="s">
        <v>20</v>
      </c>
      <c r="Z39" s="150"/>
      <c r="AA39" s="150"/>
      <c r="AB39" s="151"/>
      <c r="AC39" s="152">
        <v>3.4953703703703704E-4</v>
      </c>
      <c r="AD39" s="153"/>
      <c r="AE39" s="154"/>
      <c r="AF39" s="155">
        <f t="shared" si="5"/>
        <v>0.5</v>
      </c>
      <c r="AG39" s="156"/>
      <c r="AH39" s="157"/>
      <c r="AI39" s="69" t="s">
        <v>63</v>
      </c>
      <c r="AJ39" s="69"/>
      <c r="AK39" s="69"/>
      <c r="AN39" s="29"/>
    </row>
    <row r="40" spans="1:69" x14ac:dyDescent="0.25">
      <c r="A40" s="4">
        <v>7</v>
      </c>
      <c r="B40" s="166" t="s">
        <v>98</v>
      </c>
      <c r="C40" s="167"/>
      <c r="D40" s="167"/>
      <c r="E40" s="168"/>
      <c r="F40" s="148" t="s">
        <v>26</v>
      </c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62" t="s">
        <v>23</v>
      </c>
      <c r="Z40" s="163"/>
      <c r="AA40" s="163"/>
      <c r="AB40" s="164"/>
      <c r="AC40" s="152">
        <v>2.4305555555555555E-4</v>
      </c>
      <c r="AD40" s="153"/>
      <c r="AE40" s="154"/>
      <c r="AF40" s="155">
        <f t="shared" si="5"/>
        <v>0.35</v>
      </c>
      <c r="AG40" s="156"/>
      <c r="AH40" s="157"/>
      <c r="AI40" s="69" t="s">
        <v>63</v>
      </c>
      <c r="AJ40" s="69"/>
      <c r="AK40" s="69"/>
      <c r="AN40" s="29"/>
    </row>
    <row r="41" spans="1:69" x14ac:dyDescent="0.25">
      <c r="A41" s="4">
        <v>8</v>
      </c>
      <c r="B41" s="166" t="s">
        <v>98</v>
      </c>
      <c r="C41" s="167"/>
      <c r="D41" s="167"/>
      <c r="E41" s="168"/>
      <c r="F41" s="148" t="s">
        <v>27</v>
      </c>
      <c r="G41" s="148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9" t="s">
        <v>20</v>
      </c>
      <c r="Z41" s="150"/>
      <c r="AA41" s="150"/>
      <c r="AB41" s="151"/>
      <c r="AC41" s="152">
        <v>3.2256944444444444E-4</v>
      </c>
      <c r="AD41" s="153"/>
      <c r="AE41" s="154"/>
      <c r="AF41" s="155">
        <f t="shared" si="5"/>
        <v>0.46666666666666667</v>
      </c>
      <c r="AG41" s="156"/>
      <c r="AH41" s="157"/>
      <c r="AI41" s="69" t="s">
        <v>63</v>
      </c>
      <c r="AJ41" s="69"/>
      <c r="AK41" s="69"/>
      <c r="AN41" s="29"/>
    </row>
    <row r="42" spans="1:69" x14ac:dyDescent="0.25">
      <c r="A42" s="4">
        <v>9</v>
      </c>
      <c r="B42" s="166" t="s">
        <v>98</v>
      </c>
      <c r="C42" s="167"/>
      <c r="D42" s="167"/>
      <c r="E42" s="168"/>
      <c r="F42" s="148" t="s">
        <v>28</v>
      </c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9" t="s">
        <v>20</v>
      </c>
      <c r="Z42" s="150"/>
      <c r="AA42" s="150"/>
      <c r="AB42" s="151"/>
      <c r="AC42" s="152">
        <v>1.0361111111111111E-3</v>
      </c>
      <c r="AD42" s="153"/>
      <c r="AE42" s="154"/>
      <c r="AF42" s="155">
        <f t="shared" si="5"/>
        <v>1.5</v>
      </c>
      <c r="AG42" s="156"/>
      <c r="AH42" s="157"/>
      <c r="AI42" s="69" t="s">
        <v>63</v>
      </c>
      <c r="AJ42" s="69"/>
      <c r="AK42" s="69"/>
      <c r="AN42" s="29"/>
    </row>
    <row r="43" spans="1:69" x14ac:dyDescent="0.25">
      <c r="A43" s="4">
        <v>10</v>
      </c>
      <c r="B43" s="166" t="s">
        <v>98</v>
      </c>
      <c r="C43" s="167"/>
      <c r="D43" s="167"/>
      <c r="E43" s="168"/>
      <c r="F43" s="148" t="s">
        <v>29</v>
      </c>
      <c r="G43" s="148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69" t="s">
        <v>30</v>
      </c>
      <c r="Z43" s="170"/>
      <c r="AA43" s="170"/>
      <c r="AB43" s="171"/>
      <c r="AC43" s="152">
        <v>7.0370370370370367E-4</v>
      </c>
      <c r="AD43" s="153"/>
      <c r="AE43" s="154"/>
      <c r="AF43" s="155">
        <f t="shared" si="5"/>
        <v>1.0166666666666666</v>
      </c>
      <c r="AG43" s="156"/>
      <c r="AH43" s="157"/>
      <c r="AI43" s="69" t="s">
        <v>64</v>
      </c>
      <c r="AJ43" s="69"/>
      <c r="AK43" s="69"/>
      <c r="AN43" s="29"/>
    </row>
    <row r="44" spans="1:69" x14ac:dyDescent="0.25">
      <c r="A44" s="4">
        <v>11</v>
      </c>
      <c r="B44" s="145" t="s">
        <v>101</v>
      </c>
      <c r="C44" s="146"/>
      <c r="D44" s="146"/>
      <c r="E44" s="147"/>
      <c r="F44" s="148" t="s">
        <v>31</v>
      </c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69" t="s">
        <v>30</v>
      </c>
      <c r="Z44" s="170"/>
      <c r="AA44" s="170"/>
      <c r="AB44" s="171"/>
      <c r="AC44" s="152">
        <v>6.1747685185185191E-4</v>
      </c>
      <c r="AD44" s="153"/>
      <c r="AE44" s="154"/>
      <c r="AF44" s="155">
        <f t="shared" si="5"/>
        <v>0.8833333333333333</v>
      </c>
      <c r="AG44" s="156"/>
      <c r="AH44" s="157"/>
      <c r="AI44" s="69" t="s">
        <v>64</v>
      </c>
      <c r="AJ44" s="69"/>
      <c r="AK44" s="69"/>
      <c r="AN44" s="29"/>
    </row>
    <row r="45" spans="1:69" x14ac:dyDescent="0.25">
      <c r="A45" s="4">
        <v>12</v>
      </c>
      <c r="B45" s="145" t="s">
        <v>101</v>
      </c>
      <c r="C45" s="146"/>
      <c r="D45" s="146"/>
      <c r="E45" s="147"/>
      <c r="F45" s="148" t="s">
        <v>32</v>
      </c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69" t="s">
        <v>30</v>
      </c>
      <c r="Z45" s="170"/>
      <c r="AA45" s="170"/>
      <c r="AB45" s="171"/>
      <c r="AC45" s="152">
        <v>5.87962962962963E-5</v>
      </c>
      <c r="AD45" s="153"/>
      <c r="AE45" s="154"/>
      <c r="AF45" s="155">
        <f>MINUTE(AC45)+(SECOND(AC45)/60)</f>
        <v>8.3333333333333329E-2</v>
      </c>
      <c r="AG45" s="156"/>
      <c r="AH45" s="157"/>
      <c r="AI45" s="69" t="s">
        <v>64</v>
      </c>
      <c r="AJ45" s="69"/>
      <c r="AK45" s="69"/>
      <c r="AN45" s="29"/>
    </row>
    <row r="46" spans="1:69" x14ac:dyDescent="0.25">
      <c r="A46" s="4">
        <v>13</v>
      </c>
      <c r="B46" s="145" t="s">
        <v>99</v>
      </c>
      <c r="C46" s="146"/>
      <c r="D46" s="146"/>
      <c r="E46" s="147"/>
      <c r="F46" s="148" t="s">
        <v>33</v>
      </c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69" t="s">
        <v>30</v>
      </c>
      <c r="Z46" s="170"/>
      <c r="AA46" s="170"/>
      <c r="AB46" s="171"/>
      <c r="AC46" s="152">
        <v>5.5353009259259262E-3</v>
      </c>
      <c r="AD46" s="153"/>
      <c r="AE46" s="154"/>
      <c r="AF46" s="155">
        <f t="shared" ref="AF46:AF59" si="6">MINUTE(AC46)+(SECOND(AC46)/60)</f>
        <v>7.9666666666666668</v>
      </c>
      <c r="AG46" s="156"/>
      <c r="AH46" s="157"/>
      <c r="AI46" s="69" t="s">
        <v>64</v>
      </c>
      <c r="AJ46" s="69"/>
      <c r="AK46" s="69"/>
      <c r="AN46" s="29"/>
    </row>
    <row r="47" spans="1:69" x14ac:dyDescent="0.25">
      <c r="A47" s="4">
        <v>14</v>
      </c>
      <c r="B47" s="145" t="s">
        <v>101</v>
      </c>
      <c r="C47" s="146"/>
      <c r="D47" s="146"/>
      <c r="E47" s="147"/>
      <c r="F47" s="148" t="s">
        <v>34</v>
      </c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72" t="s">
        <v>20</v>
      </c>
      <c r="Z47" s="173"/>
      <c r="AA47" s="173"/>
      <c r="AB47" s="174"/>
      <c r="AC47" s="152">
        <v>3.6025462962962964E-3</v>
      </c>
      <c r="AD47" s="153"/>
      <c r="AE47" s="154"/>
      <c r="AF47" s="155">
        <f t="shared" si="6"/>
        <v>5.1833333333333336</v>
      </c>
      <c r="AG47" s="156"/>
      <c r="AH47" s="157"/>
      <c r="AI47" s="69" t="s">
        <v>74</v>
      </c>
      <c r="AJ47" s="69"/>
      <c r="AK47" s="69"/>
      <c r="AN47" s="29"/>
    </row>
    <row r="48" spans="1:69" x14ac:dyDescent="0.25">
      <c r="A48" s="4">
        <v>15</v>
      </c>
      <c r="B48" s="145" t="s">
        <v>101</v>
      </c>
      <c r="C48" s="146"/>
      <c r="D48" s="146"/>
      <c r="E48" s="147"/>
      <c r="F48" s="148" t="s">
        <v>35</v>
      </c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72" t="s">
        <v>20</v>
      </c>
      <c r="Z48" s="173"/>
      <c r="AA48" s="173"/>
      <c r="AB48" s="174"/>
      <c r="AC48" s="175">
        <v>2.5011574074074075E-4</v>
      </c>
      <c r="AD48" s="176"/>
      <c r="AE48" s="177"/>
      <c r="AF48" s="155">
        <f t="shared" si="6"/>
        <v>0.36666666666666664</v>
      </c>
      <c r="AG48" s="156"/>
      <c r="AH48" s="157"/>
      <c r="AI48" s="69" t="s">
        <v>74</v>
      </c>
      <c r="AJ48" s="69"/>
      <c r="AK48" s="69"/>
      <c r="AN48" s="29"/>
    </row>
    <row r="49" spans="1:49" x14ac:dyDescent="0.25">
      <c r="A49" s="4">
        <v>16</v>
      </c>
      <c r="B49" s="145" t="s">
        <v>102</v>
      </c>
      <c r="C49" s="146"/>
      <c r="D49" s="146"/>
      <c r="E49" s="147"/>
      <c r="F49" s="148" t="s">
        <v>36</v>
      </c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62" t="s">
        <v>23</v>
      </c>
      <c r="Z49" s="163"/>
      <c r="AA49" s="163"/>
      <c r="AB49" s="164"/>
      <c r="AC49" s="175">
        <v>7.407407407407407E-4</v>
      </c>
      <c r="AD49" s="176"/>
      <c r="AE49" s="177"/>
      <c r="AF49" s="155">
        <f t="shared" si="6"/>
        <v>1.0666666666666667</v>
      </c>
      <c r="AG49" s="156"/>
      <c r="AH49" s="157"/>
      <c r="AI49" s="69" t="s">
        <v>74</v>
      </c>
      <c r="AJ49" s="69"/>
      <c r="AK49" s="69"/>
      <c r="AN49" s="29"/>
    </row>
    <row r="50" spans="1:49" x14ac:dyDescent="0.25">
      <c r="A50" s="4">
        <v>17</v>
      </c>
      <c r="B50" s="145" t="s">
        <v>101</v>
      </c>
      <c r="C50" s="146"/>
      <c r="D50" s="146"/>
      <c r="E50" s="147"/>
      <c r="F50" s="148" t="s">
        <v>37</v>
      </c>
      <c r="G50" s="148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69" t="s">
        <v>30</v>
      </c>
      <c r="Z50" s="170"/>
      <c r="AA50" s="170"/>
      <c r="AB50" s="171"/>
      <c r="AC50" s="152">
        <v>4.090277777777778E-4</v>
      </c>
      <c r="AD50" s="153"/>
      <c r="AE50" s="154"/>
      <c r="AF50" s="155">
        <f t="shared" si="6"/>
        <v>0.58333333333333337</v>
      </c>
      <c r="AG50" s="156"/>
      <c r="AH50" s="157"/>
      <c r="AI50" s="69" t="s">
        <v>74</v>
      </c>
      <c r="AJ50" s="69"/>
      <c r="AK50" s="69"/>
      <c r="AN50" s="29"/>
    </row>
    <row r="51" spans="1:49" x14ac:dyDescent="0.25">
      <c r="A51" s="4">
        <v>18</v>
      </c>
      <c r="B51" s="145" t="s">
        <v>103</v>
      </c>
      <c r="C51" s="146"/>
      <c r="D51" s="146"/>
      <c r="E51" s="147"/>
      <c r="F51" s="148" t="s">
        <v>38</v>
      </c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69" t="s">
        <v>30</v>
      </c>
      <c r="Z51" s="170"/>
      <c r="AA51" s="170"/>
      <c r="AB51" s="171"/>
      <c r="AC51" s="152">
        <v>1.3903935185185185E-3</v>
      </c>
      <c r="AD51" s="153"/>
      <c r="AE51" s="154"/>
      <c r="AF51" s="155">
        <f t="shared" si="6"/>
        <v>2</v>
      </c>
      <c r="AG51" s="156"/>
      <c r="AH51" s="157"/>
      <c r="AI51" s="69" t="s">
        <v>74</v>
      </c>
      <c r="AJ51" s="69"/>
      <c r="AK51" s="69"/>
      <c r="AN51" s="29"/>
    </row>
    <row r="52" spans="1:49" x14ac:dyDescent="0.25">
      <c r="A52" s="4">
        <v>19</v>
      </c>
      <c r="B52" s="145" t="s">
        <v>101</v>
      </c>
      <c r="C52" s="146"/>
      <c r="D52" s="146"/>
      <c r="E52" s="147"/>
      <c r="F52" s="148" t="s">
        <v>39</v>
      </c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69" t="s">
        <v>30</v>
      </c>
      <c r="Z52" s="170"/>
      <c r="AA52" s="170"/>
      <c r="AB52" s="171"/>
      <c r="AC52" s="152">
        <v>1.3950231481481481E-3</v>
      </c>
      <c r="AD52" s="153"/>
      <c r="AE52" s="154"/>
      <c r="AF52" s="155">
        <f t="shared" si="6"/>
        <v>2.0166666666666666</v>
      </c>
      <c r="AG52" s="156"/>
      <c r="AH52" s="157"/>
      <c r="AI52" s="69" t="s">
        <v>74</v>
      </c>
      <c r="AJ52" s="69"/>
      <c r="AK52" s="69"/>
      <c r="AN52" s="29"/>
    </row>
    <row r="53" spans="1:49" x14ac:dyDescent="0.25">
      <c r="A53" s="4">
        <v>20</v>
      </c>
      <c r="B53" s="145" t="s">
        <v>102</v>
      </c>
      <c r="C53" s="146"/>
      <c r="D53" s="146"/>
      <c r="E53" s="147"/>
      <c r="F53" s="148" t="s">
        <v>40</v>
      </c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69" t="s">
        <v>30</v>
      </c>
      <c r="Z53" s="170"/>
      <c r="AA53" s="170"/>
      <c r="AB53" s="171"/>
      <c r="AC53" s="152">
        <v>1.0751157407407408E-3</v>
      </c>
      <c r="AD53" s="153"/>
      <c r="AE53" s="154"/>
      <c r="AF53" s="155">
        <f t="shared" si="6"/>
        <v>1.55</v>
      </c>
      <c r="AG53" s="156"/>
      <c r="AH53" s="157"/>
      <c r="AI53" s="69" t="s">
        <v>74</v>
      </c>
      <c r="AJ53" s="69"/>
      <c r="AK53" s="69"/>
      <c r="AN53" s="29"/>
    </row>
    <row r="54" spans="1:49" x14ac:dyDescent="0.25">
      <c r="A54" s="4">
        <v>21</v>
      </c>
      <c r="B54" s="166" t="s">
        <v>98</v>
      </c>
      <c r="C54" s="167"/>
      <c r="D54" s="167"/>
      <c r="E54" s="168"/>
      <c r="F54" s="148" t="s">
        <v>41</v>
      </c>
      <c r="G54" s="148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81" t="s">
        <v>42</v>
      </c>
      <c r="Z54" s="182"/>
      <c r="AA54" s="182"/>
      <c r="AB54" s="183"/>
      <c r="AC54" s="152">
        <v>1.324537037037037E-3</v>
      </c>
      <c r="AD54" s="153"/>
      <c r="AE54" s="154"/>
      <c r="AF54" s="155">
        <f t="shared" si="6"/>
        <v>1.9</v>
      </c>
      <c r="AG54" s="156"/>
      <c r="AH54" s="157"/>
      <c r="AI54" s="69" t="s">
        <v>75</v>
      </c>
      <c r="AJ54" s="69"/>
      <c r="AK54" s="69"/>
      <c r="AN54" s="29"/>
    </row>
    <row r="55" spans="1:49" x14ac:dyDescent="0.25">
      <c r="A55" s="4">
        <v>22</v>
      </c>
      <c r="B55" s="145" t="s">
        <v>100</v>
      </c>
      <c r="C55" s="146"/>
      <c r="D55" s="146"/>
      <c r="E55" s="147"/>
      <c r="F55" s="148" t="s">
        <v>43</v>
      </c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78" t="s">
        <v>20</v>
      </c>
      <c r="Z55" s="179"/>
      <c r="AA55" s="179"/>
      <c r="AB55" s="180"/>
      <c r="AC55" s="152">
        <v>8.2395833333333334E-4</v>
      </c>
      <c r="AD55" s="153"/>
      <c r="AE55" s="154"/>
      <c r="AF55" s="155">
        <f t="shared" si="6"/>
        <v>1.1833333333333333</v>
      </c>
      <c r="AG55" s="156"/>
      <c r="AH55" s="157"/>
      <c r="AI55" s="69" t="s">
        <v>75</v>
      </c>
      <c r="AJ55" s="69"/>
      <c r="AK55" s="69"/>
      <c r="AN55" s="29"/>
    </row>
    <row r="56" spans="1:49" x14ac:dyDescent="0.25">
      <c r="A56" s="4">
        <v>23</v>
      </c>
      <c r="B56" s="166" t="s">
        <v>98</v>
      </c>
      <c r="C56" s="167"/>
      <c r="D56" s="167"/>
      <c r="E56" s="168"/>
      <c r="F56" s="165" t="s">
        <v>44</v>
      </c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78" t="s">
        <v>20</v>
      </c>
      <c r="Z56" s="179"/>
      <c r="AA56" s="179"/>
      <c r="AB56" s="180"/>
      <c r="AC56" s="152">
        <v>5.4432870370370366E-4</v>
      </c>
      <c r="AD56" s="153"/>
      <c r="AE56" s="154"/>
      <c r="AF56" s="155">
        <f t="shared" si="6"/>
        <v>0.78333333333333333</v>
      </c>
      <c r="AG56" s="156"/>
      <c r="AH56" s="157"/>
      <c r="AI56" s="69" t="s">
        <v>75</v>
      </c>
      <c r="AJ56" s="69"/>
      <c r="AK56" s="69"/>
      <c r="AN56" s="29"/>
    </row>
    <row r="57" spans="1:49" ht="12.6" customHeight="1" x14ac:dyDescent="0.25">
      <c r="A57" s="4">
        <v>24</v>
      </c>
      <c r="B57" s="166" t="s">
        <v>98</v>
      </c>
      <c r="C57" s="167"/>
      <c r="D57" s="167"/>
      <c r="E57" s="168"/>
      <c r="F57" s="184" t="s">
        <v>45</v>
      </c>
      <c r="G57" s="184"/>
      <c r="H57" s="184"/>
      <c r="I57" s="184"/>
      <c r="J57" s="184"/>
      <c r="K57" s="184"/>
      <c r="L57" s="184"/>
      <c r="M57" s="184"/>
      <c r="N57" s="184"/>
      <c r="O57" s="184"/>
      <c r="P57" s="184"/>
      <c r="Q57" s="184"/>
      <c r="R57" s="184"/>
      <c r="S57" s="184"/>
      <c r="T57" s="184"/>
      <c r="U57" s="184"/>
      <c r="V57" s="184"/>
      <c r="W57" s="184"/>
      <c r="X57" s="184"/>
      <c r="Y57" s="158" t="s">
        <v>18</v>
      </c>
      <c r="Z57" s="159"/>
      <c r="AA57" s="159"/>
      <c r="AB57" s="160"/>
      <c r="AC57" s="152">
        <v>6.018518518518519E-4</v>
      </c>
      <c r="AD57" s="153"/>
      <c r="AE57" s="154"/>
      <c r="AF57" s="155">
        <f t="shared" si="6"/>
        <v>0.8666666666666667</v>
      </c>
      <c r="AG57" s="156"/>
      <c r="AH57" s="157"/>
      <c r="AI57" s="69" t="s">
        <v>75</v>
      </c>
      <c r="AJ57" s="69"/>
      <c r="AK57" s="69"/>
      <c r="AN57" s="29"/>
    </row>
    <row r="58" spans="1:49" x14ac:dyDescent="0.25">
      <c r="A58" s="4">
        <v>25</v>
      </c>
      <c r="B58" s="166" t="s">
        <v>98</v>
      </c>
      <c r="C58" s="167"/>
      <c r="D58" s="167"/>
      <c r="E58" s="168"/>
      <c r="F58" s="148" t="s">
        <v>46</v>
      </c>
      <c r="G58" s="14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78" t="s">
        <v>20</v>
      </c>
      <c r="Z58" s="179"/>
      <c r="AA58" s="179"/>
      <c r="AB58" s="180"/>
      <c r="AC58" s="152">
        <v>1.1226851851851851E-3</v>
      </c>
      <c r="AD58" s="153"/>
      <c r="AE58" s="154"/>
      <c r="AF58" s="155">
        <f t="shared" si="6"/>
        <v>1.6166666666666667</v>
      </c>
      <c r="AG58" s="156"/>
      <c r="AH58" s="157"/>
      <c r="AI58" s="69" t="s">
        <v>75</v>
      </c>
      <c r="AJ58" s="69"/>
      <c r="AK58" s="69"/>
      <c r="AN58" s="29"/>
    </row>
    <row r="59" spans="1:49" x14ac:dyDescent="0.25">
      <c r="A59" s="4">
        <v>26</v>
      </c>
      <c r="B59" s="166" t="s">
        <v>98</v>
      </c>
      <c r="C59" s="167"/>
      <c r="D59" s="167"/>
      <c r="E59" s="168"/>
      <c r="F59" s="148" t="s">
        <v>47</v>
      </c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58" t="s">
        <v>18</v>
      </c>
      <c r="Z59" s="159"/>
      <c r="AA59" s="159"/>
      <c r="AB59" s="160"/>
      <c r="AC59" s="152">
        <v>2.8935185185185184E-4</v>
      </c>
      <c r="AD59" s="153"/>
      <c r="AE59" s="154"/>
      <c r="AF59" s="155">
        <f t="shared" si="6"/>
        <v>0.41666666666666669</v>
      </c>
      <c r="AG59" s="156"/>
      <c r="AH59" s="157"/>
      <c r="AI59" s="69" t="s">
        <v>75</v>
      </c>
      <c r="AJ59" s="69"/>
      <c r="AK59" s="69"/>
      <c r="AN59" s="29"/>
    </row>
    <row r="60" spans="1:49" x14ac:dyDescent="0.25">
      <c r="A60" s="4">
        <v>27</v>
      </c>
      <c r="B60" s="166" t="s">
        <v>98</v>
      </c>
      <c r="C60" s="167"/>
      <c r="D60" s="167"/>
      <c r="E60" s="168"/>
      <c r="F60" s="148" t="s">
        <v>48</v>
      </c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78" t="s">
        <v>20</v>
      </c>
      <c r="Z60" s="179"/>
      <c r="AA60" s="179"/>
      <c r="AB60" s="180"/>
      <c r="AC60" s="152">
        <v>2.2106481481481482E-3</v>
      </c>
      <c r="AD60" s="153"/>
      <c r="AE60" s="154"/>
      <c r="AF60" s="155">
        <f>MINUTE(AC60)+(SECOND(AC60)/60)</f>
        <v>3.1833333333333331</v>
      </c>
      <c r="AG60" s="156"/>
      <c r="AH60" s="157"/>
      <c r="AI60" s="69" t="s">
        <v>75</v>
      </c>
      <c r="AJ60" s="69"/>
      <c r="AK60" s="69"/>
      <c r="AN60" s="29"/>
    </row>
    <row r="61" spans="1:49" x14ac:dyDescent="0.25">
      <c r="A61" s="20"/>
      <c r="B61" s="20"/>
      <c r="C61" s="20"/>
      <c r="D61" s="20"/>
      <c r="E61" s="20"/>
      <c r="F61" s="20"/>
      <c r="G61" s="20"/>
      <c r="AN61" s="29"/>
    </row>
    <row r="62" spans="1:49" x14ac:dyDescent="0.25">
      <c r="A62" s="52" t="s">
        <v>79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N62" s="29"/>
    </row>
    <row r="63" spans="1:49" s="16" customFormat="1" x14ac:dyDescent="0.25">
      <c r="A63" s="80" t="s">
        <v>49</v>
      </c>
      <c r="B63" s="80"/>
      <c r="C63" s="80"/>
      <c r="D63" s="80"/>
      <c r="E63" s="187" t="s">
        <v>50</v>
      </c>
      <c r="F63" s="187"/>
      <c r="G63" s="187"/>
      <c r="H63" s="187"/>
      <c r="I63" s="187"/>
      <c r="J63" s="80" t="s">
        <v>51</v>
      </c>
      <c r="K63" s="80"/>
      <c r="L63" s="187" t="s">
        <v>52</v>
      </c>
      <c r="M63" s="187"/>
      <c r="N63" s="80" t="s">
        <v>53</v>
      </c>
      <c r="O63" s="80"/>
      <c r="P63" s="188">
        <v>45926</v>
      </c>
      <c r="Q63" s="188"/>
      <c r="R63" s="188"/>
      <c r="S63" s="36" t="s">
        <v>85</v>
      </c>
      <c r="T63" s="36"/>
      <c r="U63" s="21"/>
      <c r="V63" s="21"/>
      <c r="W63" s="21"/>
      <c r="X63" s="189" t="s">
        <v>86</v>
      </c>
      <c r="Y63" s="190"/>
      <c r="Z63" s="190"/>
      <c r="AA63" s="190"/>
      <c r="AB63" s="191"/>
      <c r="AC63" s="206" t="s">
        <v>87</v>
      </c>
      <c r="AD63" s="207"/>
      <c r="AE63" s="207"/>
      <c r="AF63" s="208"/>
      <c r="AG63" s="197" t="s">
        <v>88</v>
      </c>
      <c r="AH63" s="197"/>
      <c r="AI63" s="197"/>
      <c r="AJ63" s="197"/>
      <c r="AK63" s="197"/>
      <c r="AN63" s="30"/>
    </row>
    <row r="64" spans="1:49" x14ac:dyDescent="0.25">
      <c r="AN64" s="30"/>
      <c r="AP64" s="16"/>
      <c r="AQ64" s="16"/>
      <c r="AR64" s="16"/>
      <c r="AS64" s="16"/>
      <c r="AT64" s="16"/>
      <c r="AU64" s="16"/>
      <c r="AV64" s="16"/>
      <c r="AW64" s="16"/>
    </row>
    <row r="65" spans="1:49" x14ac:dyDescent="0.25">
      <c r="A65" s="52" t="s">
        <v>60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N65" s="30"/>
      <c r="AP65" s="16"/>
      <c r="AQ65" s="16"/>
      <c r="AR65" s="16"/>
      <c r="AS65" s="16"/>
      <c r="AT65" s="16"/>
      <c r="AU65" s="16"/>
      <c r="AV65" s="16"/>
      <c r="AW65" s="16"/>
    </row>
    <row r="66" spans="1:49" x14ac:dyDescent="0.25">
      <c r="A66" s="32">
        <v>1</v>
      </c>
      <c r="B66" s="145"/>
      <c r="C66" s="146"/>
      <c r="D66" s="146"/>
      <c r="E66" s="147"/>
      <c r="F66" s="192" t="s">
        <v>129</v>
      </c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R66" s="192"/>
      <c r="S66" s="192"/>
      <c r="T66" s="192"/>
      <c r="U66" s="192"/>
      <c r="V66" s="192"/>
      <c r="W66" s="192"/>
      <c r="X66" s="192"/>
      <c r="Y66" s="193" t="s">
        <v>18</v>
      </c>
      <c r="Z66" s="194"/>
      <c r="AA66" s="194"/>
      <c r="AB66" s="195"/>
      <c r="AC66" s="37"/>
      <c r="AD66" s="38"/>
      <c r="AE66" s="39"/>
      <c r="AF66" s="155">
        <f t="shared" ref="AF66:AF72" si="7">MINUTE(AC66)+(SECOND(AC66)/60)</f>
        <v>0</v>
      </c>
      <c r="AG66" s="156"/>
      <c r="AH66" s="157"/>
      <c r="AI66" s="61" t="s">
        <v>84</v>
      </c>
      <c r="AJ66" s="196"/>
      <c r="AK66" s="62"/>
      <c r="AN66" s="30"/>
      <c r="AP66" s="16"/>
      <c r="AQ66" s="16"/>
      <c r="AR66" s="16"/>
      <c r="AS66" s="16"/>
      <c r="AT66" s="16"/>
      <c r="AU66" s="16"/>
      <c r="AV66" s="16"/>
      <c r="AW66" s="16"/>
    </row>
    <row r="67" spans="1:49" x14ac:dyDescent="0.25">
      <c r="A67" s="32">
        <v>2</v>
      </c>
      <c r="B67" s="145"/>
      <c r="C67" s="146"/>
      <c r="D67" s="146"/>
      <c r="E67" s="147"/>
      <c r="F67" s="192" t="s">
        <v>130</v>
      </c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  <c r="W67" s="192"/>
      <c r="X67" s="192"/>
      <c r="Y67" s="193" t="s">
        <v>135</v>
      </c>
      <c r="Z67" s="194"/>
      <c r="AA67" s="194"/>
      <c r="AB67" s="195"/>
      <c r="AC67" s="37"/>
      <c r="AD67" s="38"/>
      <c r="AE67" s="39"/>
      <c r="AF67" s="155">
        <f t="shared" si="7"/>
        <v>0</v>
      </c>
      <c r="AG67" s="156"/>
      <c r="AH67" s="157"/>
      <c r="AI67" s="61" t="s">
        <v>84</v>
      </c>
      <c r="AJ67" s="196"/>
      <c r="AK67" s="62"/>
      <c r="AN67" s="30"/>
      <c r="AP67" s="16"/>
      <c r="AQ67" s="16"/>
      <c r="AR67" s="16"/>
      <c r="AS67" s="16"/>
      <c r="AT67" s="16"/>
      <c r="AU67" s="16"/>
      <c r="AV67" s="16"/>
      <c r="AW67" s="16"/>
    </row>
    <row r="68" spans="1:49" x14ac:dyDescent="0.25">
      <c r="A68" s="32">
        <v>3</v>
      </c>
      <c r="B68" s="145"/>
      <c r="C68" s="146"/>
      <c r="D68" s="146"/>
      <c r="E68" s="147"/>
      <c r="F68" s="192" t="s">
        <v>128</v>
      </c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3" t="s">
        <v>18</v>
      </c>
      <c r="Z68" s="194"/>
      <c r="AA68" s="194"/>
      <c r="AB68" s="195"/>
      <c r="AC68" s="37"/>
      <c r="AD68" s="38"/>
      <c r="AE68" s="39"/>
      <c r="AF68" s="155">
        <f t="shared" si="7"/>
        <v>0</v>
      </c>
      <c r="AG68" s="156"/>
      <c r="AH68" s="157"/>
      <c r="AI68" s="61" t="s">
        <v>84</v>
      </c>
      <c r="AJ68" s="196"/>
      <c r="AK68" s="62"/>
      <c r="AN68" s="30"/>
      <c r="AP68" s="16"/>
      <c r="AQ68" s="16"/>
      <c r="AR68" s="16"/>
      <c r="AS68" s="16"/>
      <c r="AT68" s="16"/>
      <c r="AU68" s="16"/>
      <c r="AV68" s="16"/>
      <c r="AW68" s="16"/>
    </row>
    <row r="69" spans="1:49" x14ac:dyDescent="0.25">
      <c r="A69" s="32">
        <v>4</v>
      </c>
      <c r="B69" s="145"/>
      <c r="C69" s="146"/>
      <c r="D69" s="146"/>
      <c r="E69" s="147"/>
      <c r="F69" s="192" t="s">
        <v>131</v>
      </c>
      <c r="G69" s="192"/>
      <c r="H69" s="192"/>
      <c r="I69" s="192"/>
      <c r="J69" s="192"/>
      <c r="K69" s="192"/>
      <c r="L69" s="192"/>
      <c r="M69" s="192"/>
      <c r="N69" s="192"/>
      <c r="O69" s="192"/>
      <c r="P69" s="192"/>
      <c r="Q69" s="192"/>
      <c r="R69" s="192"/>
      <c r="S69" s="192"/>
      <c r="T69" s="192"/>
      <c r="U69" s="192"/>
      <c r="V69" s="192"/>
      <c r="W69" s="192"/>
      <c r="X69" s="192"/>
      <c r="Y69" s="193" t="s">
        <v>136</v>
      </c>
      <c r="Z69" s="194"/>
      <c r="AA69" s="194"/>
      <c r="AB69" s="195"/>
      <c r="AC69" s="37"/>
      <c r="AD69" s="38"/>
      <c r="AE69" s="39"/>
      <c r="AF69" s="155">
        <f t="shared" si="7"/>
        <v>0</v>
      </c>
      <c r="AG69" s="156"/>
      <c r="AH69" s="157"/>
      <c r="AI69" s="61" t="s">
        <v>84</v>
      </c>
      <c r="AJ69" s="196"/>
      <c r="AK69" s="62"/>
      <c r="AN69" s="30"/>
      <c r="AP69" s="16"/>
      <c r="AQ69" s="16"/>
      <c r="AR69" s="16"/>
      <c r="AS69" s="16"/>
      <c r="AT69" s="16"/>
      <c r="AU69" s="16"/>
      <c r="AV69" s="16"/>
      <c r="AW69" s="16"/>
    </row>
    <row r="70" spans="1:49" x14ac:dyDescent="0.25">
      <c r="A70" s="32">
        <v>5</v>
      </c>
      <c r="B70" s="145"/>
      <c r="C70" s="146"/>
      <c r="D70" s="146"/>
      <c r="E70" s="147"/>
      <c r="F70" s="192" t="s">
        <v>132</v>
      </c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3" t="s">
        <v>18</v>
      </c>
      <c r="Z70" s="194"/>
      <c r="AA70" s="194"/>
      <c r="AB70" s="195"/>
      <c r="AC70" s="37"/>
      <c r="AD70" s="38"/>
      <c r="AE70" s="39"/>
      <c r="AF70" s="155">
        <f t="shared" si="7"/>
        <v>0</v>
      </c>
      <c r="AG70" s="156"/>
      <c r="AH70" s="157"/>
      <c r="AI70" s="61" t="s">
        <v>84</v>
      </c>
      <c r="AJ70" s="196"/>
      <c r="AK70" s="62"/>
      <c r="AN70" s="30"/>
      <c r="AP70" s="16"/>
      <c r="AQ70" s="16"/>
      <c r="AR70" s="16"/>
      <c r="AS70" s="16"/>
      <c r="AT70" s="16"/>
      <c r="AU70" s="16"/>
      <c r="AV70" s="16"/>
      <c r="AW70" s="16"/>
    </row>
    <row r="71" spans="1:49" x14ac:dyDescent="0.25">
      <c r="A71" s="32">
        <v>6</v>
      </c>
      <c r="B71" s="145"/>
      <c r="C71" s="146"/>
      <c r="D71" s="146"/>
      <c r="E71" s="147"/>
      <c r="F71" s="192" t="s">
        <v>133</v>
      </c>
      <c r="G71" s="192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3" t="s">
        <v>18</v>
      </c>
      <c r="Z71" s="194"/>
      <c r="AA71" s="194"/>
      <c r="AB71" s="195"/>
      <c r="AC71" s="37"/>
      <c r="AD71" s="38"/>
      <c r="AE71" s="39"/>
      <c r="AF71" s="155">
        <f t="shared" si="7"/>
        <v>0</v>
      </c>
      <c r="AG71" s="156"/>
      <c r="AH71" s="157"/>
      <c r="AI71" s="61" t="s">
        <v>84</v>
      </c>
      <c r="AJ71" s="196"/>
      <c r="AK71" s="62"/>
      <c r="AN71" s="30"/>
      <c r="AP71" s="16"/>
      <c r="AQ71" s="16"/>
      <c r="AR71" s="16"/>
      <c r="AS71" s="16"/>
      <c r="AT71" s="16"/>
      <c r="AU71" s="16"/>
      <c r="AV71" s="16"/>
      <c r="AW71" s="16"/>
    </row>
    <row r="72" spans="1:49" x14ac:dyDescent="0.25">
      <c r="A72" s="32">
        <v>7</v>
      </c>
      <c r="B72" s="145"/>
      <c r="C72" s="146"/>
      <c r="D72" s="146"/>
      <c r="E72" s="147"/>
      <c r="F72" s="192" t="s">
        <v>134</v>
      </c>
      <c r="G72" s="192"/>
      <c r="H72" s="192"/>
      <c r="I72" s="192"/>
      <c r="J72" s="192"/>
      <c r="K72" s="192"/>
      <c r="L72" s="192"/>
      <c r="M72" s="192"/>
      <c r="N72" s="192"/>
      <c r="O72" s="192"/>
      <c r="P72" s="192"/>
      <c r="Q72" s="192"/>
      <c r="R72" s="192"/>
      <c r="S72" s="192"/>
      <c r="T72" s="192"/>
      <c r="U72" s="192"/>
      <c r="V72" s="192"/>
      <c r="W72" s="192"/>
      <c r="X72" s="192"/>
      <c r="Y72" s="193" t="s">
        <v>18</v>
      </c>
      <c r="Z72" s="194"/>
      <c r="AA72" s="194"/>
      <c r="AB72" s="195"/>
      <c r="AC72" s="37"/>
      <c r="AD72" s="38"/>
      <c r="AE72" s="39"/>
      <c r="AF72" s="155">
        <f t="shared" si="7"/>
        <v>0</v>
      </c>
      <c r="AG72" s="156"/>
      <c r="AH72" s="157"/>
      <c r="AI72" s="61" t="s">
        <v>84</v>
      </c>
      <c r="AJ72" s="196"/>
      <c r="AK72" s="62"/>
      <c r="AN72" s="30"/>
    </row>
  </sheetData>
  <mergeCells count="375">
    <mergeCell ref="A62:AK62"/>
    <mergeCell ref="AG63:AK63"/>
    <mergeCell ref="A20:E20"/>
    <mergeCell ref="F20:AM20"/>
    <mergeCell ref="F21:AE21"/>
    <mergeCell ref="F22:AE22"/>
    <mergeCell ref="F23:AE23"/>
    <mergeCell ref="F24:AE24"/>
    <mergeCell ref="F25:AE25"/>
    <mergeCell ref="AC63:AF63"/>
    <mergeCell ref="AC59:AE59"/>
    <mergeCell ref="AF59:AH59"/>
    <mergeCell ref="AI59:AK59"/>
    <mergeCell ref="B58:E58"/>
    <mergeCell ref="F58:X58"/>
    <mergeCell ref="Y58:AB58"/>
    <mergeCell ref="AC58:AE58"/>
    <mergeCell ref="AF58:AH58"/>
    <mergeCell ref="AF72:AH72"/>
    <mergeCell ref="AI66:AK66"/>
    <mergeCell ref="AI67:AK67"/>
    <mergeCell ref="AI68:AK68"/>
    <mergeCell ref="AI69:AK69"/>
    <mergeCell ref="AI70:AK70"/>
    <mergeCell ref="AI71:AK71"/>
    <mergeCell ref="AI72:AK72"/>
    <mergeCell ref="AF66:AH66"/>
    <mergeCell ref="AF67:AH67"/>
    <mergeCell ref="AF68:AH68"/>
    <mergeCell ref="AF69:AH69"/>
    <mergeCell ref="AF70:AH70"/>
    <mergeCell ref="AF71:AH71"/>
    <mergeCell ref="Y71:AB71"/>
    <mergeCell ref="Y72:AB72"/>
    <mergeCell ref="F71:X71"/>
    <mergeCell ref="F72:X72"/>
    <mergeCell ref="B66:E66"/>
    <mergeCell ref="B67:E67"/>
    <mergeCell ref="B68:E68"/>
    <mergeCell ref="B69:E69"/>
    <mergeCell ref="B70:E70"/>
    <mergeCell ref="B71:E71"/>
    <mergeCell ref="B72:E72"/>
    <mergeCell ref="A65:AK65"/>
    <mergeCell ref="F66:X66"/>
    <mergeCell ref="F67:X67"/>
    <mergeCell ref="F68:X68"/>
    <mergeCell ref="F69:X69"/>
    <mergeCell ref="F70:X70"/>
    <mergeCell ref="Y66:AB66"/>
    <mergeCell ref="Y67:AB67"/>
    <mergeCell ref="Y68:AB68"/>
    <mergeCell ref="Y69:AB69"/>
    <mergeCell ref="Y70:AB70"/>
    <mergeCell ref="A7:AC7"/>
    <mergeCell ref="A8:AC8"/>
    <mergeCell ref="AD8:AE8"/>
    <mergeCell ref="AF8:AG8"/>
    <mergeCell ref="AH8:AI8"/>
    <mergeCell ref="AJ8:AK8"/>
    <mergeCell ref="A63:D63"/>
    <mergeCell ref="E63:I63"/>
    <mergeCell ref="J63:K63"/>
    <mergeCell ref="L63:M63"/>
    <mergeCell ref="N63:O63"/>
    <mergeCell ref="P63:R63"/>
    <mergeCell ref="X63:AB63"/>
    <mergeCell ref="B60:E60"/>
    <mergeCell ref="F60:X60"/>
    <mergeCell ref="Y60:AB60"/>
    <mergeCell ref="AC60:AE60"/>
    <mergeCell ref="AF60:AH60"/>
    <mergeCell ref="AI60:AK60"/>
    <mergeCell ref="B59:E59"/>
    <mergeCell ref="F59:X59"/>
    <mergeCell ref="Y59:AB59"/>
    <mergeCell ref="F26:AE26"/>
    <mergeCell ref="F27:AE27"/>
    <mergeCell ref="AI58:AK58"/>
    <mergeCell ref="B57:E57"/>
    <mergeCell ref="F57:X57"/>
    <mergeCell ref="Y57:AB57"/>
    <mergeCell ref="AC57:AE57"/>
    <mergeCell ref="AF57:AH57"/>
    <mergeCell ref="AI57:AK57"/>
    <mergeCell ref="B56:E56"/>
    <mergeCell ref="F56:X56"/>
    <mergeCell ref="Y56:AB56"/>
    <mergeCell ref="AC56:AE56"/>
    <mergeCell ref="AF56:AH56"/>
    <mergeCell ref="AI56:AK56"/>
    <mergeCell ref="B55:E55"/>
    <mergeCell ref="F55:X55"/>
    <mergeCell ref="Y55:AB55"/>
    <mergeCell ref="AC55:AE55"/>
    <mergeCell ref="AF55:AH55"/>
    <mergeCell ref="AI55:AK55"/>
    <mergeCell ref="B54:E54"/>
    <mergeCell ref="F54:X54"/>
    <mergeCell ref="Y54:AB54"/>
    <mergeCell ref="AC54:AE54"/>
    <mergeCell ref="AF54:AH54"/>
    <mergeCell ref="AI54:AK54"/>
    <mergeCell ref="B53:E53"/>
    <mergeCell ref="F53:X53"/>
    <mergeCell ref="Y53:AB53"/>
    <mergeCell ref="AC53:AE53"/>
    <mergeCell ref="AF53:AH53"/>
    <mergeCell ref="AI53:AK53"/>
    <mergeCell ref="B52:E52"/>
    <mergeCell ref="F52:X52"/>
    <mergeCell ref="Y52:AB52"/>
    <mergeCell ref="AC52:AE52"/>
    <mergeCell ref="AF52:AH52"/>
    <mergeCell ref="AI52:AK52"/>
    <mergeCell ref="B51:E51"/>
    <mergeCell ref="F51:X51"/>
    <mergeCell ref="Y51:AB51"/>
    <mergeCell ref="AC51:AE51"/>
    <mergeCell ref="AF51:AH51"/>
    <mergeCell ref="AI51:AK51"/>
    <mergeCell ref="B50:E50"/>
    <mergeCell ref="F50:X50"/>
    <mergeCell ref="Y50:AB50"/>
    <mergeCell ref="AC50:AE50"/>
    <mergeCell ref="AF50:AH50"/>
    <mergeCell ref="AI50:AK50"/>
    <mergeCell ref="B49:E49"/>
    <mergeCell ref="F49:X49"/>
    <mergeCell ref="Y49:AB49"/>
    <mergeCell ref="AC49:AE49"/>
    <mergeCell ref="AF49:AH49"/>
    <mergeCell ref="AI49:AK49"/>
    <mergeCell ref="B48:E48"/>
    <mergeCell ref="F48:X48"/>
    <mergeCell ref="Y48:AB48"/>
    <mergeCell ref="AC48:AE48"/>
    <mergeCell ref="AF48:AH48"/>
    <mergeCell ref="AI48:AK48"/>
    <mergeCell ref="B47:E47"/>
    <mergeCell ref="F47:X47"/>
    <mergeCell ref="Y47:AB47"/>
    <mergeCell ref="AC47:AE47"/>
    <mergeCell ref="AF47:AH47"/>
    <mergeCell ref="AI47:AK47"/>
    <mergeCell ref="B46:E46"/>
    <mergeCell ref="F46:X46"/>
    <mergeCell ref="Y46:AB46"/>
    <mergeCell ref="AC46:AE46"/>
    <mergeCell ref="AF46:AH46"/>
    <mergeCell ref="AI46:AK46"/>
    <mergeCell ref="B45:E45"/>
    <mergeCell ref="F45:X45"/>
    <mergeCell ref="Y45:AB45"/>
    <mergeCell ref="AC45:AE45"/>
    <mergeCell ref="AF45:AH45"/>
    <mergeCell ref="AI45:AK45"/>
    <mergeCell ref="B44:E44"/>
    <mergeCell ref="F44:X44"/>
    <mergeCell ref="Y44:AB44"/>
    <mergeCell ref="AC44:AE44"/>
    <mergeCell ref="AF44:AH44"/>
    <mergeCell ref="AI44:AK44"/>
    <mergeCell ref="B43:E43"/>
    <mergeCell ref="F43:X43"/>
    <mergeCell ref="Y43:AB43"/>
    <mergeCell ref="AC43:AE43"/>
    <mergeCell ref="AF43:AH43"/>
    <mergeCell ref="AI43:AK43"/>
    <mergeCell ref="B42:E42"/>
    <mergeCell ref="F42:X42"/>
    <mergeCell ref="Y42:AB42"/>
    <mergeCell ref="AC42:AE42"/>
    <mergeCell ref="AF42:AH42"/>
    <mergeCell ref="AI42:AK42"/>
    <mergeCell ref="B41:E41"/>
    <mergeCell ref="F41:X41"/>
    <mergeCell ref="Y41:AB41"/>
    <mergeCell ref="AC41:AE41"/>
    <mergeCell ref="AF41:AH41"/>
    <mergeCell ref="AI41:AK41"/>
    <mergeCell ref="B40:E40"/>
    <mergeCell ref="F40:X40"/>
    <mergeCell ref="Y40:AB40"/>
    <mergeCell ref="AC40:AE40"/>
    <mergeCell ref="AF40:AH40"/>
    <mergeCell ref="AI40:AK40"/>
    <mergeCell ref="B39:E39"/>
    <mergeCell ref="F39:X39"/>
    <mergeCell ref="Y39:AB39"/>
    <mergeCell ref="AC39:AE39"/>
    <mergeCell ref="AF39:AH39"/>
    <mergeCell ref="AI39:AK39"/>
    <mergeCell ref="B38:E38"/>
    <mergeCell ref="F38:X38"/>
    <mergeCell ref="Y38:AB38"/>
    <mergeCell ref="AC38:AE38"/>
    <mergeCell ref="AF38:AH38"/>
    <mergeCell ref="AI38:AK38"/>
    <mergeCell ref="B37:E37"/>
    <mergeCell ref="F37:X37"/>
    <mergeCell ref="Y37:AB37"/>
    <mergeCell ref="AC37:AE37"/>
    <mergeCell ref="AF37:AH37"/>
    <mergeCell ref="AI37:AK37"/>
    <mergeCell ref="B36:E36"/>
    <mergeCell ref="F36:X36"/>
    <mergeCell ref="Y36:AB36"/>
    <mergeCell ref="AC36:AE36"/>
    <mergeCell ref="AF36:AH36"/>
    <mergeCell ref="AI36:AK36"/>
    <mergeCell ref="B35:E35"/>
    <mergeCell ref="F35:X35"/>
    <mergeCell ref="Y35:AB35"/>
    <mergeCell ref="AC35:AE35"/>
    <mergeCell ref="AF35:AH35"/>
    <mergeCell ref="AI35:AK35"/>
    <mergeCell ref="B34:E34"/>
    <mergeCell ref="F34:X34"/>
    <mergeCell ref="Y34:AB34"/>
    <mergeCell ref="AC34:AE34"/>
    <mergeCell ref="AF34:AH34"/>
    <mergeCell ref="AI34:AK34"/>
    <mergeCell ref="A32:AM32"/>
    <mergeCell ref="B33:E33"/>
    <mergeCell ref="F33:X33"/>
    <mergeCell ref="Y33:AB33"/>
    <mergeCell ref="AF33:AH33"/>
    <mergeCell ref="AI33:AK33"/>
    <mergeCell ref="AC33:AE33"/>
    <mergeCell ref="A30:E30"/>
    <mergeCell ref="AF30:AH30"/>
    <mergeCell ref="AI30:AK30"/>
    <mergeCell ref="A31:E31"/>
    <mergeCell ref="AF31:AH31"/>
    <mergeCell ref="AI31:AK31"/>
    <mergeCell ref="F30:AE30"/>
    <mergeCell ref="F31:AE31"/>
    <mergeCell ref="A28:E28"/>
    <mergeCell ref="AF28:AH28"/>
    <mergeCell ref="AI28:AK28"/>
    <mergeCell ref="A29:E29"/>
    <mergeCell ref="AF29:AH29"/>
    <mergeCell ref="AI29:AK29"/>
    <mergeCell ref="A26:E26"/>
    <mergeCell ref="AF26:AH26"/>
    <mergeCell ref="AI26:AK26"/>
    <mergeCell ref="A27:E27"/>
    <mergeCell ref="AF27:AH27"/>
    <mergeCell ref="AI27:AK27"/>
    <mergeCell ref="F28:AE28"/>
    <mergeCell ref="F29:AE29"/>
    <mergeCell ref="A24:E24"/>
    <mergeCell ref="AF24:AH24"/>
    <mergeCell ref="AI24:AK24"/>
    <mergeCell ref="A25:E25"/>
    <mergeCell ref="AF25:AH25"/>
    <mergeCell ref="AI25:AK25"/>
    <mergeCell ref="A22:E22"/>
    <mergeCell ref="AF22:AH22"/>
    <mergeCell ref="AI22:AK22"/>
    <mergeCell ref="A23:E23"/>
    <mergeCell ref="AF23:AH23"/>
    <mergeCell ref="AI23:AK23"/>
    <mergeCell ref="A17:AM17"/>
    <mergeCell ref="A18:E18"/>
    <mergeCell ref="F18:AM19"/>
    <mergeCell ref="A19:E19"/>
    <mergeCell ref="A21:E21"/>
    <mergeCell ref="AF21:AH21"/>
    <mergeCell ref="R16:W16"/>
    <mergeCell ref="X16:Z16"/>
    <mergeCell ref="AD16:AE16"/>
    <mergeCell ref="AH16:AI16"/>
    <mergeCell ref="AF15:AG16"/>
    <mergeCell ref="AJ15:AK16"/>
    <mergeCell ref="A15:W15"/>
    <mergeCell ref="X15:Z15"/>
    <mergeCell ref="AA15:AC16"/>
    <mergeCell ref="AD15:AE15"/>
    <mergeCell ref="AH15:AI15"/>
    <mergeCell ref="AL15:AM15"/>
    <mergeCell ref="A16:Q16"/>
    <mergeCell ref="X14:Z14"/>
    <mergeCell ref="AA14:AB14"/>
    <mergeCell ref="AC14:AD14"/>
    <mergeCell ref="AE14:AF14"/>
    <mergeCell ref="AG14:AH14"/>
    <mergeCell ref="AI14:AJ14"/>
    <mergeCell ref="AL16:AM16"/>
    <mergeCell ref="X13:AB13"/>
    <mergeCell ref="AE13:AI13"/>
    <mergeCell ref="AJ13:AM13"/>
    <mergeCell ref="A14:D14"/>
    <mergeCell ref="E14:H14"/>
    <mergeCell ref="I14:M14"/>
    <mergeCell ref="N14:Q14"/>
    <mergeCell ref="R14:T14"/>
    <mergeCell ref="U14:W14"/>
    <mergeCell ref="A13:D13"/>
    <mergeCell ref="E13:H13"/>
    <mergeCell ref="I13:M13"/>
    <mergeCell ref="N13:Q13"/>
    <mergeCell ref="R13:T13"/>
    <mergeCell ref="U13:W13"/>
    <mergeCell ref="AK14:AL14"/>
    <mergeCell ref="X12:Z12"/>
    <mergeCell ref="AA12:AM12"/>
    <mergeCell ref="AD10:AE10"/>
    <mergeCell ref="AF10:AG10"/>
    <mergeCell ref="AH10:AI10"/>
    <mergeCell ref="AJ10:AK10"/>
    <mergeCell ref="A12:D12"/>
    <mergeCell ref="E12:H12"/>
    <mergeCell ref="I12:M12"/>
    <mergeCell ref="N12:Q12"/>
    <mergeCell ref="R12:T12"/>
    <mergeCell ref="U12:W12"/>
    <mergeCell ref="A11:W11"/>
    <mergeCell ref="X11:AM11"/>
    <mergeCell ref="AD9:AE9"/>
    <mergeCell ref="AF9:AG9"/>
    <mergeCell ref="AH9:AI9"/>
    <mergeCell ref="AJ9:AK9"/>
    <mergeCell ref="AD6:AE6"/>
    <mergeCell ref="AF6:AG6"/>
    <mergeCell ref="AH6:AI6"/>
    <mergeCell ref="AJ6:AK6"/>
    <mergeCell ref="AD7:AE7"/>
    <mergeCell ref="AF7:AG7"/>
    <mergeCell ref="AH7:AI7"/>
    <mergeCell ref="AJ7:AK7"/>
    <mergeCell ref="AF5:AG5"/>
    <mergeCell ref="AH5:AI5"/>
    <mergeCell ref="AJ5:AK5"/>
    <mergeCell ref="A6:D6"/>
    <mergeCell ref="E6:H6"/>
    <mergeCell ref="I6:M6"/>
    <mergeCell ref="N6:Q6"/>
    <mergeCell ref="R6:T6"/>
    <mergeCell ref="U6:W6"/>
    <mergeCell ref="X5:AA5"/>
    <mergeCell ref="AB5:AC5"/>
    <mergeCell ref="A5:D5"/>
    <mergeCell ref="E5:H5"/>
    <mergeCell ref="I5:M5"/>
    <mergeCell ref="N5:Q5"/>
    <mergeCell ref="R5:T5"/>
    <mergeCell ref="U5:W5"/>
    <mergeCell ref="X6:AA6"/>
    <mergeCell ref="AB6:AC6"/>
    <mergeCell ref="AD5:AE5"/>
    <mergeCell ref="A3:W3"/>
    <mergeCell ref="X3:AM3"/>
    <mergeCell ref="A4:D4"/>
    <mergeCell ref="E4:H4"/>
    <mergeCell ref="I4:M4"/>
    <mergeCell ref="N4:Q4"/>
    <mergeCell ref="R4:T4"/>
    <mergeCell ref="U4:W4"/>
    <mergeCell ref="X4:AA4"/>
    <mergeCell ref="AB4:AC4"/>
    <mergeCell ref="AD4:AE4"/>
    <mergeCell ref="AF4:AG4"/>
    <mergeCell ref="AH4:AI4"/>
    <mergeCell ref="AJ4:AK4"/>
    <mergeCell ref="A1:AM1"/>
    <mergeCell ref="C2:F2"/>
    <mergeCell ref="G2:M2"/>
    <mergeCell ref="N2:P2"/>
    <mergeCell ref="Q2:X2"/>
    <mergeCell ref="Y2:AA2"/>
    <mergeCell ref="AB2:AE2"/>
    <mergeCell ref="AF2:AI2"/>
    <mergeCell ref="AJ2:AM2"/>
  </mergeCells>
  <conditionalFormatting sqref="AL5:AL10 AD8:AD10 AF8:AF10 AH8:AH10 AJ8:AJ10 A9:AC10 AL15:AL16">
    <cfRule type="containsText" dxfId="0" priority="1" operator="containsText" text="x">
      <formula>NOT(ISERROR(SEARCH("x",A5)))</formula>
    </cfRule>
  </conditionalFormatting>
  <dataValidations count="1">
    <dataValidation type="list" allowBlank="1" showInputMessage="1" showErrorMessage="1" sqref="B34:B60" xr:uid="{D2A03680-81D1-4AA4-AB47-DCF93145D2C0}">
      <formula1>$F$22:$F$31</formula1>
    </dataValidation>
  </dataValidations>
  <pageMargins left="0.511811024" right="0.511811024" top="0.78740157499999996" bottom="0.78740157499999996" header="0.31496062000000002" footer="0.31496062000000002"/>
  <pageSetup paperSize="9" scale="83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5BB4ECD-D9FB-456C-BD0B-2D8537EA1E40}">
          <x14:formula1>
            <xm:f>#REF!</xm:f>
          </x14:formula1>
          <xm:sqref>AA12</xm:sqref>
        </x14:dataValidation>
        <x14:dataValidation type="list" allowBlank="1" showInputMessage="1" showErrorMessage="1" xr:uid="{E3E4CDD8-B363-4035-8FFC-9BFAB541A03B}">
          <x14:formula1>
            <xm:f>#REF!</xm:f>
          </x14:formula1>
          <xm:sqref>A19</xm:sqref>
        </x14:dataValidation>
        <x14:dataValidation type="list" allowBlank="1" showInputMessage="1" showErrorMessage="1" xr:uid="{48403166-3B21-4E0C-8F98-F9A033527DD9}">
          <x14:formula1>
            <xm:f>#REF!</xm:f>
          </x14:formula1>
          <xm:sqref>F22:AE31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CCB071276FD84D812EE9A8CF0B6C10" ma:contentTypeVersion="9" ma:contentTypeDescription="Crie um novo documento." ma:contentTypeScope="" ma:versionID="4c470234d7a47653a797e0c53496fe42">
  <xsd:schema xmlns:xsd="http://www.w3.org/2001/XMLSchema" xmlns:xs="http://www.w3.org/2001/XMLSchema" xmlns:p="http://schemas.microsoft.com/office/2006/metadata/properties" xmlns:ns3="d8668abb-1a03-4a0d-b156-669aa3f5dbb3" targetNamespace="http://schemas.microsoft.com/office/2006/metadata/properties" ma:root="true" ma:fieldsID="f42a32efa10864211c69fcc535deb757" ns3:_="">
    <xsd:import namespace="d8668abb-1a03-4a0d-b156-669aa3f5dbb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68abb-1a03-4a0d-b156-669aa3f5d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2E20E3-5412-4BC5-BCCE-F4AFC3661A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668abb-1a03-4a0d-b156-669aa3f5db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88D43B-CC61-459A-AB96-E1C5C5C915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6B6CD9-A0B7-4A20-B6D7-32AC59AC183D}">
  <ds:schemaRefs>
    <ds:schemaRef ds:uri="http://schemas.microsoft.com/office/2006/documentManagement/types"/>
    <ds:schemaRef ds:uri="http://purl.org/dc/dcmitype/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8668abb-1a03-4a0d-b156-669aa3f5dbb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Tela preenchida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| Imagem Uniformes</dc:creator>
  <cp:lastModifiedBy>Diretoria | Imagem Uniformes</cp:lastModifiedBy>
  <dcterms:created xsi:type="dcterms:W3CDTF">2025-09-26T12:32:02Z</dcterms:created>
  <dcterms:modified xsi:type="dcterms:W3CDTF">2025-10-13T13:53:10Z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0x01010091CCB071276FD84D812EE9A8CF0B6C10</vt:lpwstr>
  </property>
</Properties>
</file>